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61308AB-9D74-40C2-B6E2-12D00A41B70C}" xr6:coauthVersionLast="47" xr6:coauthVersionMax="47" xr10:uidLastSave="{00000000-0000-0000-0000-000000000000}"/>
  <bookViews>
    <workbookView xWindow="-108" yWindow="-108" windowWidth="23256" windowHeight="12456" xr2:uid="{7B1EE550-512C-4A16-B149-7A0918219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J29" i="1"/>
  <c r="J32" i="1" s="1"/>
  <c r="A23" i="1"/>
  <c r="J20" i="1"/>
  <c r="F19" i="1"/>
  <c r="J19" i="1" s="1"/>
  <c r="J17" i="1"/>
  <c r="J16" i="1"/>
  <c r="J15" i="1"/>
  <c r="A15" i="1"/>
  <c r="A16" i="1" s="1"/>
  <c r="J14" i="1"/>
  <c r="G19" i="1" l="1"/>
  <c r="J27" i="1"/>
  <c r="J33" i="1" s="1"/>
</calcChain>
</file>

<file path=xl/sharedStrings.xml><?xml version="1.0" encoding="utf-8"?>
<sst xmlns="http://schemas.openxmlformats.org/spreadsheetml/2006/main" count="76" uniqueCount="75">
  <si>
    <t>TO     : Thurlestone Shipping (Germany)</t>
  </si>
  <si>
    <t>DATE : 19 APRIL 2024</t>
  </si>
  <si>
    <t>FM     : SEATRANS - AGENCY DEPARTMENT</t>
  </si>
  <si>
    <t>REF. CHHH_QN</t>
  </si>
  <si>
    <t>ESTIMATED PORT DISBURSEMENTS</t>
  </si>
  <si>
    <t xml:space="preserve">MV </t>
  </si>
  <si>
    <t>MV CHANG HANG HONG HAI</t>
  </si>
  <si>
    <t>Discharging/Loading port</t>
  </si>
  <si>
    <t>QUINHON</t>
  </si>
  <si>
    <t>DWT</t>
  </si>
  <si>
    <t>Discharging/Loading Term</t>
  </si>
  <si>
    <t>F.O</t>
  </si>
  <si>
    <t>GRT</t>
  </si>
  <si>
    <t>Dis/Loading at anchorage</t>
  </si>
  <si>
    <t>LOA</t>
  </si>
  <si>
    <t>Discharging/Loading at berth</t>
  </si>
  <si>
    <t>X</t>
  </si>
  <si>
    <t>ETA</t>
  </si>
  <si>
    <t>TBN</t>
  </si>
  <si>
    <t>Cargo/Q'ty</t>
  </si>
  <si>
    <t>OF WOOD PELLETS IN BULK</t>
  </si>
  <si>
    <t>AA. Port dues and charges :</t>
  </si>
  <si>
    <t>No.</t>
  </si>
  <si>
    <t>Item</t>
  </si>
  <si>
    <t>Details (Rate x GRT x ...)</t>
  </si>
  <si>
    <t>Remark</t>
  </si>
  <si>
    <t>Amount (USD)</t>
  </si>
  <si>
    <t>Tonnage</t>
  </si>
  <si>
    <t>USD 0.034 / GRT x 2  (in + out)</t>
  </si>
  <si>
    <t>Navigation due</t>
  </si>
  <si>
    <t>USD 0.058 / GRT x 2 (in + out)</t>
  </si>
  <si>
    <t xml:space="preserve">Pilotage </t>
  </si>
  <si>
    <t>USD0.0034 / GRT X 2 (in &amp; out)</t>
  </si>
  <si>
    <t>Tug assistance charge</t>
  </si>
  <si>
    <t>USD9,916 (in+out)</t>
  </si>
  <si>
    <t xml:space="preserve">Moor / Unmooring </t>
  </si>
  <si>
    <t>Berth due</t>
  </si>
  <si>
    <t xml:space="preserve">USD 0.0031 / GRT / hour x  </t>
  </si>
  <si>
    <t>Anchorage fees if any</t>
  </si>
  <si>
    <t xml:space="preserve">USD 0.0005 / GRT / hour x  </t>
  </si>
  <si>
    <t>Quarantine fee</t>
  </si>
  <si>
    <t>(In+Out)</t>
  </si>
  <si>
    <t>Ocean Frt Tax</t>
  </si>
  <si>
    <r>
      <rPr>
        <b/>
        <sz val="9"/>
        <rFont val="Arial"/>
        <family val="2"/>
      </rPr>
      <t>Total Frt x 2% tax rate</t>
    </r>
    <r>
      <rPr>
        <sz val="9"/>
        <rFont val="Arial"/>
        <family val="2"/>
      </rPr>
      <t xml:space="preserve"> </t>
    </r>
  </si>
  <si>
    <t>PLS ADVISE</t>
  </si>
  <si>
    <t>xxx</t>
  </si>
  <si>
    <t xml:space="preserve">Transport for entry quarantine formality </t>
  </si>
  <si>
    <t>Berthing Application to B.4 - due to over DWT</t>
  </si>
  <si>
    <t>Clearance fees</t>
  </si>
  <si>
    <t>(In/Outward clearance)</t>
  </si>
  <si>
    <t xml:space="preserve">Garbage removal fee </t>
  </si>
  <si>
    <t>USD17/cbm/2 days/time</t>
  </si>
  <si>
    <t xml:space="preserve">TOTAL A : (I) </t>
  </si>
  <si>
    <t>BB. Agency fees and expenses :</t>
  </si>
  <si>
    <t xml:space="preserve">On GRT: 25,001-50,000: USD1,150 </t>
  </si>
  <si>
    <t>On cargo: USD0.05/mt x 30,000mts</t>
  </si>
  <si>
    <t>Transport/Communication in L/S</t>
  </si>
  <si>
    <t>TOTAL B : (II)</t>
  </si>
  <si>
    <t>G. TOTAL : (I)+(II)</t>
  </si>
  <si>
    <r>
      <t>Remark :</t>
    </r>
    <r>
      <rPr>
        <i/>
        <sz val="10"/>
        <rFont val="VNarial"/>
      </rPr>
      <t xml:space="preserve">     All the port charges/dues are subject to the Govmn't tariff and will be settled basing on the original </t>
    </r>
  </si>
  <si>
    <t xml:space="preserve"> invoices &amp; vouchers issued by parties concerned </t>
  </si>
  <si>
    <t>*</t>
  </si>
  <si>
    <t xml:space="preserve">Our banker full style details: </t>
  </si>
  <si>
    <t>Bank's Name: Vietcombank Binh Dinh</t>
  </si>
  <si>
    <t>Bank's Address: 66C Le Duan street, Quinhon city , S.R.Vietnam</t>
  </si>
  <si>
    <t>In favour of South East Asia Transport &amp; Logistics Jsc</t>
  </si>
  <si>
    <t>USD A/C No. 005137.0526679 ( SWIFT CODE: BFTVVNVX005)</t>
  </si>
  <si>
    <t>Seatrans   - Shipping Agency Manager</t>
  </si>
  <si>
    <t>Mr. Tuyen - Mobile/Wechat/Zalo: +84.914-282-649</t>
  </si>
  <si>
    <t>===========================================</t>
  </si>
  <si>
    <t>SEATRANS – SHIPPING AGENCY</t>
  </si>
  <si>
    <t>Head office : 51 Luu Huu Phuoc Str.,Qui Nhon City,Vietnam</t>
  </si>
  <si>
    <t>TEL         :  + 84-256-3520379FAX         : + 84-256-3520479</t>
  </si>
  <si>
    <t>E-MAIL    : ship.agency@seatrans.com.vn</t>
  </si>
  <si>
    <t>Website : www.seatrans.com.vn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</si>
</sst>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0.00&quot;M&quot;"/>
    <numFmt numFmtId="166" formatCode="0\ &quot;MT&quot;"/>
    <numFmt numFmtId="167" formatCode="0\ &quot;MTS&quot;"/>
    <numFmt numFmtId="168" formatCode="0&quot;miles&quot;"/>
    <numFmt numFmtId="169" formatCode="0\ &quot;miles&quot;"/>
    <numFmt numFmtId="170" formatCode="&quot;TUG &quot;0&quot;HP :&quot;"/>
    <numFmt numFmtId="171" formatCode="&quot;USD&quot;\ 0.00&quot;/hr&quot;"/>
    <numFmt numFmtId="172" formatCode="0.0\ &quot;hr(s)&quot;"/>
    <numFmt numFmtId="173" formatCode="0\ &quot;hrs&quot;"/>
    <numFmt numFmtId="174" formatCode="&quot;(abt.&quot;0.0&quot;days)&quot;"/>
  </numFmts>
  <fonts count="3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 Unicode MS"/>
      <family val="2"/>
    </font>
    <font>
      <sz val="11"/>
      <color rgb="FF222222"/>
      <name val="Segoe UI"/>
      <family val="2"/>
    </font>
    <font>
      <sz val="10"/>
      <name val="Arial"/>
      <family val="2"/>
    </font>
    <font>
      <b/>
      <sz val="12"/>
      <color rgb="FF00B0F0"/>
      <name val="Aptos Display"/>
      <family val="1"/>
      <scheme val="major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i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b/>
      <u/>
      <sz val="11"/>
      <name val="Arial"/>
      <family val="2"/>
    </font>
    <font>
      <b/>
      <sz val="9"/>
      <color indexed="10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i/>
      <u/>
      <sz val="10"/>
      <name val="VNarial"/>
    </font>
    <font>
      <i/>
      <sz val="10"/>
      <name val="VNarial"/>
    </font>
    <font>
      <i/>
      <sz val="9"/>
      <name val="Arial"/>
      <family val="2"/>
    </font>
    <font>
      <b/>
      <i/>
      <sz val="9"/>
      <name val="Arial"/>
      <family val="2"/>
    </font>
    <font>
      <sz val="9"/>
      <color indexed="10"/>
      <name val="Arial"/>
      <family val="2"/>
    </font>
    <font>
      <sz val="10"/>
      <name val="Tahoma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12"/>
      <name val="VNarial"/>
    </font>
    <font>
      <sz val="10.5"/>
      <color indexed="8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67">
    <xf numFmtId="0" fontId="0" fillId="0" borderId="0" xfId="0"/>
    <xf numFmtId="0" fontId="3" fillId="0" borderId="0" xfId="0" applyFont="1" applyProtection="1">
      <protection hidden="1"/>
    </xf>
    <xf numFmtId="43" fontId="3" fillId="0" borderId="0" xfId="1" applyFont="1" applyAlignment="1" applyProtection="1">
      <alignment horizontal="right"/>
      <protection hidden="1"/>
    </xf>
    <xf numFmtId="43" fontId="3" fillId="2" borderId="0" xfId="1" applyFont="1" applyFill="1" applyAlignment="1" applyProtection="1">
      <alignment horizontal="right"/>
      <protection hidden="1"/>
    </xf>
    <xf numFmtId="0" fontId="0" fillId="0" borderId="0" xfId="0" applyProtection="1"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5" fillId="0" borderId="0" xfId="0" applyFont="1"/>
    <xf numFmtId="0" fontId="6" fillId="0" borderId="0" xfId="0" applyFont="1"/>
    <xf numFmtId="0" fontId="7" fillId="0" borderId="2" xfId="0" applyFont="1" applyBorder="1" applyAlignment="1" applyProtection="1">
      <alignment horizontal="left"/>
      <protection hidden="1"/>
    </xf>
    <xf numFmtId="0" fontId="3" fillId="0" borderId="3" xfId="0" applyFont="1" applyBorder="1" applyAlignment="1" applyProtection="1">
      <alignment horizontal="left"/>
      <protection hidden="1"/>
    </xf>
    <xf numFmtId="0" fontId="8" fillId="0" borderId="0" xfId="0" applyFont="1"/>
    <xf numFmtId="0" fontId="9" fillId="0" borderId="4" xfId="0" applyFont="1" applyBorder="1" applyAlignment="1" applyProtection="1">
      <alignment horizontal="left"/>
      <protection hidden="1"/>
    </xf>
    <xf numFmtId="0" fontId="10" fillId="0" borderId="4" xfId="0" applyFont="1" applyBorder="1" applyAlignment="1" applyProtection="1">
      <alignment horizontal="center"/>
      <protection hidden="1"/>
    </xf>
    <xf numFmtId="0" fontId="7" fillId="0" borderId="5" xfId="0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center"/>
      <protection hidden="1"/>
    </xf>
    <xf numFmtId="43" fontId="3" fillId="0" borderId="5" xfId="1" applyFont="1" applyBorder="1" applyAlignment="1" applyProtection="1">
      <alignment horizontal="center"/>
      <protection hidden="1"/>
    </xf>
    <xf numFmtId="0" fontId="7" fillId="0" borderId="6" xfId="0" quotePrefix="1" applyFont="1" applyBorder="1" applyAlignment="1" applyProtection="1">
      <alignment horizontal="left"/>
      <protection hidden="1"/>
    </xf>
    <xf numFmtId="0" fontId="3" fillId="0" borderId="7" xfId="0" applyFont="1" applyBorder="1" applyAlignment="1" applyProtection="1">
      <alignment horizontal="left"/>
      <protection hidden="1"/>
    </xf>
    <xf numFmtId="3" fontId="9" fillId="0" borderId="0" xfId="0" applyNumberFormat="1" applyFont="1" applyAlignment="1" applyProtection="1">
      <alignment horizontal="left"/>
      <protection hidden="1"/>
    </xf>
    <xf numFmtId="4" fontId="9" fillId="0" borderId="0" xfId="0" applyNumberFormat="1" applyFont="1" applyAlignment="1" applyProtection="1">
      <alignment horizontal="left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/>
      <protection hidden="1"/>
    </xf>
    <xf numFmtId="0" fontId="7" fillId="0" borderId="7" xfId="0" applyFont="1" applyBorder="1" applyAlignment="1" applyProtection="1">
      <alignment horizontal="left"/>
      <protection hidden="1"/>
    </xf>
    <xf numFmtId="0" fontId="7" fillId="0" borderId="0" xfId="0" applyFont="1" applyAlignment="1" applyProtection="1">
      <alignment horizontal="center"/>
      <protection hidden="1"/>
    </xf>
    <xf numFmtId="43" fontId="3" fillId="0" borderId="8" xfId="1" applyFont="1" applyBorder="1" applyAlignment="1" applyProtection="1">
      <alignment horizontal="center"/>
      <protection hidden="1"/>
    </xf>
    <xf numFmtId="0" fontId="11" fillId="0" borderId="6" xfId="0" quotePrefix="1" applyFont="1" applyBorder="1" applyAlignment="1" applyProtection="1">
      <alignment horizontal="left"/>
      <protection hidden="1"/>
    </xf>
    <xf numFmtId="0" fontId="12" fillId="3" borderId="7" xfId="0" applyFont="1" applyFill="1" applyBorder="1" applyAlignment="1" applyProtection="1">
      <alignment horizontal="left"/>
      <protection hidden="1"/>
    </xf>
    <xf numFmtId="3" fontId="12" fillId="3" borderId="0" xfId="0" applyNumberFormat="1" applyFont="1" applyFill="1" applyAlignment="1" applyProtection="1">
      <alignment horizontal="left"/>
      <protection hidden="1"/>
    </xf>
    <xf numFmtId="3" fontId="3" fillId="0" borderId="0" xfId="0" applyNumberFormat="1" applyFont="1" applyAlignment="1" applyProtection="1">
      <alignment horizontal="left"/>
      <protection hidden="1"/>
    </xf>
    <xf numFmtId="9" fontId="7" fillId="0" borderId="8" xfId="0" applyNumberFormat="1" applyFont="1" applyBorder="1" applyAlignment="1" applyProtection="1">
      <alignment horizontal="center"/>
      <protection hidden="1"/>
    </xf>
    <xf numFmtId="0" fontId="7" fillId="3" borderId="7" xfId="0" applyFont="1" applyFill="1" applyBorder="1" applyAlignment="1" applyProtection="1">
      <alignment horizontal="left"/>
      <protection hidden="1"/>
    </xf>
    <xf numFmtId="0" fontId="7" fillId="3" borderId="0" xfId="0" applyFont="1" applyFill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/>
      <protection hidden="1"/>
    </xf>
    <xf numFmtId="0" fontId="7" fillId="0" borderId="6" xfId="0" applyFont="1" applyBorder="1" applyAlignment="1" applyProtection="1">
      <alignment horizontal="center"/>
      <protection hidden="1"/>
    </xf>
    <xf numFmtId="165" fontId="12" fillId="3" borderId="0" xfId="0" applyNumberFormat="1" applyFont="1" applyFill="1" applyAlignment="1" applyProtection="1">
      <alignment horizontal="left"/>
      <protection hidden="1"/>
    </xf>
    <xf numFmtId="0" fontId="3" fillId="0" borderId="0" xfId="0" applyFont="1" applyAlignment="1" applyProtection="1">
      <alignment horizontal="left"/>
      <protection hidden="1"/>
    </xf>
    <xf numFmtId="0" fontId="13" fillId="3" borderId="0" xfId="0" applyFont="1" applyFill="1" applyAlignment="1" applyProtection="1">
      <alignment horizontal="center"/>
      <protection hidden="1"/>
    </xf>
    <xf numFmtId="0" fontId="3" fillId="0" borderId="6" xfId="0" quotePrefix="1" applyFont="1" applyBorder="1" applyAlignment="1" applyProtection="1">
      <alignment horizontal="left"/>
      <protection hidden="1"/>
    </xf>
    <xf numFmtId="0" fontId="3" fillId="3" borderId="7" xfId="0" applyFont="1" applyFill="1" applyBorder="1" applyAlignment="1" applyProtection="1">
      <alignment horizontal="left"/>
      <protection hidden="1"/>
    </xf>
    <xf numFmtId="0" fontId="3" fillId="0" borderId="7" xfId="0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left"/>
      <protection hidden="1"/>
    </xf>
    <xf numFmtId="43" fontId="14" fillId="0" borderId="8" xfId="1" applyFont="1" applyBorder="1" applyAlignment="1" applyProtection="1">
      <alignment horizontal="right"/>
      <protection hidden="1"/>
    </xf>
    <xf numFmtId="0" fontId="3" fillId="0" borderId="9" xfId="0" applyFont="1" applyBorder="1" applyAlignment="1" applyProtection="1">
      <alignment horizontal="center"/>
      <protection hidden="1"/>
    </xf>
    <xf numFmtId="0" fontId="3" fillId="0" borderId="10" xfId="0" applyFont="1" applyBorder="1" applyAlignment="1" applyProtection="1">
      <alignment horizontal="left"/>
      <protection hidden="1"/>
    </xf>
    <xf numFmtId="166" fontId="3" fillId="2" borderId="11" xfId="0" applyNumberFormat="1" applyFont="1" applyFill="1" applyBorder="1" applyAlignment="1" applyProtection="1">
      <alignment horizontal="left"/>
      <protection hidden="1"/>
    </xf>
    <xf numFmtId="167" fontId="3" fillId="0" borderId="11" xfId="0" applyNumberFormat="1" applyFont="1" applyBorder="1" applyProtection="1">
      <protection hidden="1"/>
    </xf>
    <xf numFmtId="0" fontId="3" fillId="0" borderId="12" xfId="0" applyFont="1" applyBorder="1" applyAlignment="1" applyProtection="1">
      <alignment horizontal="center"/>
      <protection hidden="1"/>
    </xf>
    <xf numFmtId="4" fontId="3" fillId="0" borderId="10" xfId="0" applyNumberFormat="1" applyFont="1" applyBorder="1" applyAlignment="1" applyProtection="1">
      <alignment horizontal="center"/>
      <protection hidden="1"/>
    </xf>
    <xf numFmtId="4" fontId="3" fillId="0" borderId="11" xfId="0" applyNumberFormat="1" applyFont="1" applyBorder="1" applyAlignment="1" applyProtection="1">
      <alignment horizontal="center"/>
      <protection hidden="1"/>
    </xf>
    <xf numFmtId="43" fontId="15" fillId="0" borderId="12" xfId="1" applyFont="1" applyBorder="1" applyAlignment="1" applyProtection="1">
      <alignment horizontal="right"/>
      <protection hidden="1"/>
    </xf>
    <xf numFmtId="0" fontId="16" fillId="0" borderId="0" xfId="0" applyFont="1"/>
    <xf numFmtId="0" fontId="17" fillId="0" borderId="10" xfId="0" applyFont="1" applyBorder="1" applyAlignment="1" applyProtection="1">
      <alignment horizontal="left"/>
      <protection hidden="1"/>
    </xf>
    <xf numFmtId="0" fontId="18" fillId="0" borderId="11" xfId="0" applyFont="1" applyBorder="1" applyAlignment="1" applyProtection="1">
      <alignment horizontal="left"/>
      <protection hidden="1"/>
    </xf>
    <xf numFmtId="0" fontId="17" fillId="0" borderId="11" xfId="0" applyFont="1" applyBorder="1" applyAlignment="1" applyProtection="1">
      <alignment horizontal="center"/>
      <protection hidden="1"/>
    </xf>
    <xf numFmtId="43" fontId="19" fillId="0" borderId="12" xfId="1" applyFont="1" applyBorder="1" applyAlignment="1" applyProtection="1">
      <alignment horizontal="right"/>
      <protection hidden="1"/>
    </xf>
    <xf numFmtId="0" fontId="7" fillId="0" borderId="0" xfId="0" applyFont="1"/>
    <xf numFmtId="0" fontId="20" fillId="0" borderId="10" xfId="0" applyFont="1" applyBorder="1" applyAlignment="1" applyProtection="1">
      <alignment horizontal="center"/>
      <protection hidden="1"/>
    </xf>
    <xf numFmtId="0" fontId="20" fillId="0" borderId="10" xfId="0" applyFont="1" applyBorder="1" applyProtection="1">
      <protection hidden="1"/>
    </xf>
    <xf numFmtId="0" fontId="21" fillId="0" borderId="12" xfId="0" applyFont="1" applyBorder="1" applyProtection="1">
      <protection hidden="1"/>
    </xf>
    <xf numFmtId="0" fontId="0" fillId="0" borderId="12" xfId="0" applyBorder="1" applyProtection="1">
      <protection hidden="1"/>
    </xf>
    <xf numFmtId="0" fontId="22" fillId="0" borderId="9" xfId="0" applyFont="1" applyBorder="1" applyProtection="1">
      <protection hidden="1"/>
    </xf>
    <xf numFmtId="3" fontId="20" fillId="0" borderId="10" xfId="0" applyNumberFormat="1" applyFont="1" applyBorder="1" applyAlignment="1" applyProtection="1">
      <alignment horizontal="left"/>
      <protection hidden="1"/>
    </xf>
    <xf numFmtId="3" fontId="20" fillId="0" borderId="11" xfId="0" applyNumberFormat="1" applyFont="1" applyBorder="1" applyAlignment="1" applyProtection="1">
      <alignment horizontal="right"/>
      <protection hidden="1"/>
    </xf>
    <xf numFmtId="0" fontId="21" fillId="0" borderId="12" xfId="0" applyFont="1" applyBorder="1" applyAlignment="1" applyProtection="1">
      <alignment horizontal="left"/>
      <protection hidden="1"/>
    </xf>
    <xf numFmtId="43" fontId="21" fillId="0" borderId="12" xfId="1" applyFont="1" applyBorder="1" applyAlignment="1" applyProtection="1">
      <alignment horizontal="right"/>
      <protection hidden="1"/>
    </xf>
    <xf numFmtId="0" fontId="21" fillId="0" borderId="7" xfId="0" applyFont="1" applyBorder="1" applyAlignment="1" applyProtection="1">
      <alignment horizontal="center"/>
      <protection hidden="1"/>
    </xf>
    <xf numFmtId="0" fontId="21" fillId="0" borderId="3" xfId="0" applyFont="1" applyBorder="1" applyProtection="1">
      <protection hidden="1"/>
    </xf>
    <xf numFmtId="0" fontId="22" fillId="0" borderId="5" xfId="0" applyFont="1" applyBorder="1" applyProtection="1">
      <protection hidden="1"/>
    </xf>
    <xf numFmtId="0" fontId="22" fillId="0" borderId="3" xfId="0" applyFont="1" applyBorder="1" applyProtection="1">
      <protection hidden="1"/>
    </xf>
    <xf numFmtId="0" fontId="22" fillId="0" borderId="2" xfId="0" applyFont="1" applyBorder="1" applyAlignment="1" applyProtection="1">
      <alignment horizontal="left"/>
      <protection hidden="1"/>
    </xf>
    <xf numFmtId="0" fontId="22" fillId="0" borderId="4" xfId="0" applyFont="1" applyBorder="1" applyProtection="1">
      <protection hidden="1"/>
    </xf>
    <xf numFmtId="164" fontId="22" fillId="0" borderId="2" xfId="0" applyNumberFormat="1" applyFont="1" applyBorder="1" applyProtection="1">
      <protection hidden="1"/>
    </xf>
    <xf numFmtId="0" fontId="21" fillId="0" borderId="7" xfId="0" applyFont="1" applyBorder="1" applyProtection="1">
      <protection hidden="1"/>
    </xf>
    <xf numFmtId="0" fontId="22" fillId="0" borderId="8" xfId="0" applyFont="1" applyBorder="1" applyProtection="1">
      <protection hidden="1"/>
    </xf>
    <xf numFmtId="0" fontId="22" fillId="0" borderId="7" xfId="0" applyFont="1" applyBorder="1" applyProtection="1">
      <protection hidden="1"/>
    </xf>
    <xf numFmtId="0" fontId="22" fillId="0" borderId="6" xfId="0" applyFont="1" applyBorder="1" applyAlignment="1" applyProtection="1">
      <alignment horizontal="left"/>
      <protection hidden="1"/>
    </xf>
    <xf numFmtId="0" fontId="22" fillId="0" borderId="0" xfId="0" applyFont="1" applyProtection="1">
      <protection hidden="1"/>
    </xf>
    <xf numFmtId="164" fontId="22" fillId="0" borderId="0" xfId="0" applyNumberFormat="1" applyFont="1" applyProtection="1">
      <protection hidden="1"/>
    </xf>
    <xf numFmtId="164" fontId="22" fillId="0" borderId="6" xfId="0" applyNumberFormat="1" applyFont="1" applyBorder="1" applyProtection="1">
      <protection hidden="1"/>
    </xf>
    <xf numFmtId="4" fontId="22" fillId="0" borderId="7" xfId="0" applyNumberFormat="1" applyFont="1" applyBorder="1" applyProtection="1">
      <protection hidden="1"/>
    </xf>
    <xf numFmtId="168" fontId="22" fillId="0" borderId="6" xfId="0" applyNumberFormat="1" applyFont="1" applyBorder="1" applyAlignment="1" applyProtection="1">
      <alignment horizontal="left"/>
      <protection hidden="1"/>
    </xf>
    <xf numFmtId="169" fontId="22" fillId="0" borderId="7" xfId="0" applyNumberFormat="1" applyFont="1" applyBorder="1" applyAlignment="1" applyProtection="1">
      <alignment horizontal="left"/>
      <protection hidden="1"/>
    </xf>
    <xf numFmtId="170" fontId="22" fillId="0" borderId="0" xfId="0" applyNumberFormat="1" applyFont="1" applyAlignment="1" applyProtection="1">
      <alignment horizontal="left"/>
      <protection hidden="1"/>
    </xf>
    <xf numFmtId="171" fontId="22" fillId="0" borderId="0" xfId="0" applyNumberFormat="1" applyFont="1" applyAlignment="1" applyProtection="1">
      <alignment horizontal="left"/>
      <protection hidden="1"/>
    </xf>
    <xf numFmtId="172" fontId="22" fillId="0" borderId="6" xfId="0" applyNumberFormat="1" applyFont="1" applyBorder="1" applyAlignment="1" applyProtection="1">
      <alignment horizontal="left"/>
      <protection hidden="1"/>
    </xf>
    <xf numFmtId="0" fontId="21" fillId="0" borderId="7" xfId="0" quotePrefix="1" applyFont="1" applyBorder="1" applyAlignment="1" applyProtection="1">
      <alignment horizontal="left"/>
      <protection hidden="1"/>
    </xf>
    <xf numFmtId="0" fontId="21" fillId="0" borderId="8" xfId="0" quotePrefix="1" applyFont="1" applyBorder="1" applyAlignment="1" applyProtection="1">
      <alignment horizontal="left"/>
      <protection hidden="1"/>
    </xf>
    <xf numFmtId="0" fontId="0" fillId="0" borderId="6" xfId="0" applyBorder="1" applyProtection="1">
      <protection hidden="1"/>
    </xf>
    <xf numFmtId="164" fontId="22" fillId="0" borderId="6" xfId="0" applyNumberFormat="1" applyFont="1" applyBorder="1" applyAlignment="1" applyProtection="1">
      <alignment horizontal="right"/>
      <protection hidden="1"/>
    </xf>
    <xf numFmtId="0" fontId="21" fillId="0" borderId="7" xfId="0" applyFont="1" applyBorder="1" applyAlignment="1" applyProtection="1">
      <alignment horizontal="left"/>
      <protection hidden="1"/>
    </xf>
    <xf numFmtId="173" fontId="22" fillId="0" borderId="6" xfId="0" applyNumberFormat="1" applyFont="1" applyBorder="1" applyAlignment="1" applyProtection="1">
      <alignment horizontal="left"/>
      <protection hidden="1"/>
    </xf>
    <xf numFmtId="174" fontId="22" fillId="0" borderId="7" xfId="0" applyNumberFormat="1" applyFont="1" applyBorder="1" applyAlignment="1" applyProtection="1">
      <alignment horizontal="left"/>
      <protection hidden="1"/>
    </xf>
    <xf numFmtId="174" fontId="22" fillId="0" borderId="0" xfId="0" applyNumberFormat="1" applyFont="1" applyAlignment="1" applyProtection="1">
      <alignment horizontal="left"/>
      <protection hidden="1"/>
    </xf>
    <xf numFmtId="174" fontId="22" fillId="0" borderId="8" xfId="0" applyNumberFormat="1" applyFont="1" applyBorder="1" applyAlignment="1" applyProtection="1">
      <alignment horizontal="left"/>
      <protection hidden="1"/>
    </xf>
    <xf numFmtId="174" fontId="22" fillId="0" borderId="7" xfId="0" applyNumberFormat="1" applyFont="1" applyBorder="1" applyAlignment="1" applyProtection="1">
      <alignment horizontal="left"/>
      <protection hidden="1"/>
    </xf>
    <xf numFmtId="174" fontId="22" fillId="0" borderId="0" xfId="0" applyNumberFormat="1" applyFont="1" applyAlignment="1" applyProtection="1">
      <alignment horizontal="left"/>
      <protection hidden="1"/>
    </xf>
    <xf numFmtId="0" fontId="23" fillId="0" borderId="0" xfId="0" applyFont="1"/>
    <xf numFmtId="0" fontId="22" fillId="0" borderId="7" xfId="0" applyFont="1" applyBorder="1" applyAlignment="1" applyProtection="1">
      <alignment horizontal="center"/>
      <protection hidden="1"/>
    </xf>
    <xf numFmtId="43" fontId="22" fillId="0" borderId="6" xfId="1" applyFont="1" applyBorder="1" applyAlignment="1" applyProtection="1">
      <alignment horizontal="right"/>
      <protection hidden="1"/>
    </xf>
    <xf numFmtId="0" fontId="22" fillId="0" borderId="13" xfId="0" applyFont="1" applyBorder="1" applyAlignment="1" applyProtection="1">
      <alignment horizontal="left"/>
      <protection hidden="1"/>
    </xf>
    <xf numFmtId="0" fontId="22" fillId="0" borderId="14" xfId="0" applyFont="1" applyBorder="1" applyAlignment="1" applyProtection="1">
      <alignment horizontal="left"/>
      <protection hidden="1"/>
    </xf>
    <xf numFmtId="169" fontId="22" fillId="0" borderId="7" xfId="0" applyNumberFormat="1" applyFont="1" applyBorder="1" applyAlignment="1" applyProtection="1">
      <alignment horizontal="center"/>
      <protection hidden="1"/>
    </xf>
    <xf numFmtId="0" fontId="21" fillId="0" borderId="10" xfId="0" applyFont="1" applyBorder="1" applyAlignment="1" applyProtection="1">
      <alignment horizontal="center"/>
      <protection hidden="1"/>
    </xf>
    <xf numFmtId="0" fontId="21" fillId="0" borderId="11" xfId="0" applyFont="1" applyBorder="1" applyProtection="1">
      <protection hidden="1"/>
    </xf>
    <xf numFmtId="0" fontId="22" fillId="0" borderId="11" xfId="0" applyFont="1" applyBorder="1" applyProtection="1">
      <protection hidden="1"/>
    </xf>
    <xf numFmtId="0" fontId="22" fillId="0" borderId="11" xfId="0" applyFont="1" applyBorder="1" applyAlignment="1" applyProtection="1">
      <alignment horizontal="left"/>
      <protection hidden="1"/>
    </xf>
    <xf numFmtId="0" fontId="0" fillId="0" borderId="11" xfId="0" applyBorder="1" applyProtection="1">
      <protection hidden="1"/>
    </xf>
    <xf numFmtId="169" fontId="22" fillId="0" borderId="11" xfId="0" applyNumberFormat="1" applyFont="1" applyBorder="1" applyAlignment="1" applyProtection="1">
      <alignment horizontal="center"/>
      <protection hidden="1"/>
    </xf>
    <xf numFmtId="0" fontId="21" fillId="0" borderId="12" xfId="0" applyFont="1" applyBorder="1" applyAlignment="1" applyProtection="1">
      <alignment horizontal="right"/>
      <protection hidden="1"/>
    </xf>
    <xf numFmtId="43" fontId="24" fillId="0" borderId="9" xfId="1" applyFont="1" applyBorder="1" applyAlignment="1" applyProtection="1">
      <alignment horizontal="right"/>
      <protection hidden="1"/>
    </xf>
    <xf numFmtId="0" fontId="21" fillId="2" borderId="7" xfId="0" applyFont="1" applyFill="1" applyBorder="1" applyAlignment="1" applyProtection="1">
      <alignment horizontal="center"/>
      <protection hidden="1"/>
    </xf>
    <xf numFmtId="0" fontId="21" fillId="2" borderId="3" xfId="0" applyFont="1" applyFill="1" applyBorder="1" applyProtection="1">
      <protection hidden="1"/>
    </xf>
    <xf numFmtId="0" fontId="22" fillId="2" borderId="0" xfId="0" applyFont="1" applyFill="1" applyProtection="1">
      <protection hidden="1"/>
    </xf>
    <xf numFmtId="0" fontId="22" fillId="2" borderId="0" xfId="0" applyFont="1" applyFill="1" applyAlignment="1" applyProtection="1">
      <alignment horizontal="left"/>
      <protection hidden="1"/>
    </xf>
    <xf numFmtId="0" fontId="7" fillId="2" borderId="0" xfId="0" applyFont="1" applyFill="1" applyProtection="1">
      <protection hidden="1"/>
    </xf>
    <xf numFmtId="169" fontId="22" fillId="2" borderId="0" xfId="0" applyNumberFormat="1" applyFont="1" applyFill="1" applyAlignment="1" applyProtection="1">
      <alignment horizontal="center"/>
      <protection hidden="1"/>
    </xf>
    <xf numFmtId="0" fontId="22" fillId="2" borderId="8" xfId="0" applyFont="1" applyFill="1" applyBorder="1" applyProtection="1">
      <protection hidden="1"/>
    </xf>
    <xf numFmtId="164" fontId="22" fillId="2" borderId="2" xfId="1" applyNumberFormat="1" applyFont="1" applyFill="1" applyBorder="1" applyAlignment="1" applyProtection="1">
      <alignment horizontal="right"/>
      <protection hidden="1"/>
    </xf>
    <xf numFmtId="0" fontId="21" fillId="2" borderId="7" xfId="0" applyFont="1" applyFill="1" applyBorder="1" applyProtection="1">
      <protection hidden="1"/>
    </xf>
    <xf numFmtId="164" fontId="22" fillId="2" borderId="6" xfId="1" applyNumberFormat="1" applyFont="1" applyFill="1" applyBorder="1" applyAlignment="1" applyProtection="1">
      <alignment horizontal="right"/>
      <protection hidden="1"/>
    </xf>
    <xf numFmtId="0" fontId="21" fillId="2" borderId="13" xfId="0" applyFont="1" applyFill="1" applyBorder="1" applyProtection="1">
      <protection hidden="1"/>
    </xf>
    <xf numFmtId="164" fontId="22" fillId="2" borderId="15" xfId="1" applyNumberFormat="1" applyFont="1" applyFill="1" applyBorder="1" applyAlignment="1" applyProtection="1">
      <alignment horizontal="right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3" fillId="0" borderId="11" xfId="0" applyFont="1" applyBorder="1" applyAlignment="1" applyProtection="1">
      <alignment horizontal="right"/>
      <protection hidden="1"/>
    </xf>
    <xf numFmtId="0" fontId="21" fillId="0" borderId="11" xfId="0" applyFont="1" applyBorder="1" applyAlignment="1" applyProtection="1">
      <alignment horizontal="right"/>
      <protection hidden="1"/>
    </xf>
    <xf numFmtId="164" fontId="24" fillId="0" borderId="9" xfId="1" applyNumberFormat="1" applyFont="1" applyBorder="1" applyAlignment="1" applyProtection="1">
      <alignment horizontal="right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right"/>
      <protection hidden="1"/>
    </xf>
    <xf numFmtId="0" fontId="3" fillId="0" borderId="12" xfId="0" applyFont="1" applyBorder="1" applyAlignment="1" applyProtection="1">
      <alignment horizontal="right"/>
      <protection hidden="1"/>
    </xf>
    <xf numFmtId="164" fontId="25" fillId="0" borderId="5" xfId="1" applyNumberFormat="1" applyFont="1" applyBorder="1" applyAlignment="1" applyProtection="1">
      <alignment horizontal="right"/>
      <protection hidden="1"/>
    </xf>
    <xf numFmtId="0" fontId="0" fillId="0" borderId="2" xfId="0" applyBorder="1" applyAlignment="1" applyProtection="1">
      <alignment horizontal="center"/>
      <protection hidden="1"/>
    </xf>
    <xf numFmtId="0" fontId="26" fillId="0" borderId="7" xfId="0" applyFont="1" applyBorder="1" applyProtection="1">
      <protection hidden="1"/>
    </xf>
    <xf numFmtId="0" fontId="0" fillId="0" borderId="0" xfId="0" applyAlignment="1" applyProtection="1">
      <alignment horizontal="left"/>
      <protection hidden="1"/>
    </xf>
    <xf numFmtId="43" fontId="21" fillId="0" borderId="5" xfId="1" applyFont="1" applyBorder="1" applyAlignment="1" applyProtection="1">
      <alignment horizontal="right"/>
      <protection hidden="1"/>
    </xf>
    <xf numFmtId="0" fontId="0" fillId="0" borderId="13" xfId="0" applyBorder="1" applyAlignment="1" applyProtection="1">
      <alignment horizontal="center"/>
      <protection hidden="1"/>
    </xf>
    <xf numFmtId="0" fontId="27" fillId="0" borderId="13" xfId="0" applyFont="1" applyBorder="1" applyProtection="1">
      <protection hidden="1"/>
    </xf>
    <xf numFmtId="0" fontId="27" fillId="0" borderId="1" xfId="0" applyFont="1" applyBorder="1" applyProtection="1">
      <protection hidden="1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right"/>
      <protection hidden="1"/>
    </xf>
    <xf numFmtId="43" fontId="21" fillId="0" borderId="14" xfId="1" applyFont="1" applyBorder="1" applyAlignment="1" applyProtection="1">
      <alignment horizontal="right"/>
      <protection hidden="1"/>
    </xf>
    <xf numFmtId="0" fontId="22" fillId="0" borderId="0" xfId="0" applyFont="1" applyAlignment="1" applyProtection="1">
      <alignment horizontal="center"/>
      <protection hidden="1"/>
    </xf>
    <xf numFmtId="0" fontId="28" fillId="0" borderId="0" xfId="0" applyFont="1" applyAlignment="1" applyProtection="1">
      <alignment horizontal="center"/>
      <protection hidden="1"/>
    </xf>
    <xf numFmtId="0" fontId="28" fillId="0" borderId="0" xfId="0" applyFont="1" applyAlignment="1" applyProtection="1">
      <alignment horizontal="left"/>
      <protection hidden="1"/>
    </xf>
    <xf numFmtId="0" fontId="28" fillId="0" borderId="0" xfId="0" applyFont="1" applyProtection="1">
      <protection hidden="1"/>
    </xf>
    <xf numFmtId="0" fontId="29" fillId="0" borderId="0" xfId="0" applyFont="1" applyProtection="1">
      <protection hidden="1"/>
    </xf>
    <xf numFmtId="43" fontId="22" fillId="0" borderId="0" xfId="1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center"/>
      <protection hidden="1"/>
    </xf>
    <xf numFmtId="0" fontId="18" fillId="0" borderId="0" xfId="0" applyFont="1"/>
    <xf numFmtId="43" fontId="30" fillId="0" borderId="0" xfId="1" applyFont="1" applyAlignment="1" applyProtection="1">
      <alignment horizontal="right"/>
      <protection hidden="1"/>
    </xf>
    <xf numFmtId="0" fontId="31" fillId="0" borderId="0" xfId="0" applyFont="1" applyAlignment="1" applyProtection="1">
      <alignment horizontal="center"/>
      <protection hidden="1"/>
    </xf>
    <xf numFmtId="0" fontId="31" fillId="0" borderId="0" xfId="0" applyFont="1" applyProtection="1">
      <protection hidden="1"/>
    </xf>
    <xf numFmtId="0" fontId="32" fillId="0" borderId="0" xfId="0" applyFont="1"/>
    <xf numFmtId="0" fontId="33" fillId="0" borderId="0" xfId="0" applyFont="1"/>
    <xf numFmtId="0" fontId="22" fillId="0" borderId="0" xfId="0" applyFont="1" applyAlignment="1" applyProtection="1">
      <alignment horizontal="left"/>
      <protection hidden="1"/>
    </xf>
    <xf numFmtId="0" fontId="22" fillId="0" borderId="0" xfId="0" quotePrefix="1" applyFont="1" applyAlignment="1" applyProtection="1">
      <alignment horizontal="left"/>
      <protection hidden="1"/>
    </xf>
    <xf numFmtId="0" fontId="21" fillId="0" borderId="0" xfId="0" applyFont="1" applyProtection="1">
      <protection hidden="1"/>
    </xf>
    <xf numFmtId="43" fontId="21" fillId="0" borderId="0" xfId="1" applyFont="1" applyBorder="1" applyAlignment="1" applyProtection="1">
      <alignment horizontal="right"/>
      <protection hidden="1"/>
    </xf>
    <xf numFmtId="0" fontId="21" fillId="0" borderId="0" xfId="0" applyFont="1" applyAlignment="1" applyProtection="1">
      <alignment horizontal="left"/>
      <protection hidden="1"/>
    </xf>
    <xf numFmtId="0" fontId="17" fillId="0" borderId="0" xfId="0" applyFont="1"/>
    <xf numFmtId="0" fontId="34" fillId="0" borderId="0" xfId="2" applyFont="1" applyAlignment="1" applyProtection="1"/>
    <xf numFmtId="0" fontId="35" fillId="0" borderId="0" xfId="0" applyFont="1"/>
    <xf numFmtId="0" fontId="0" fillId="0" borderId="0" xfId="0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49</xdr:row>
      <xdr:rowOff>60960</xdr:rowOff>
    </xdr:to>
    <xdr:sp macro="" textlink="">
      <xdr:nvSpPr>
        <xdr:cNvPr id="3" name="AutoShape 5" descr="data:image/png;base64,iVBORw0KGgoAAAANSUhEUgAAAf4AAADVCAIAAAA5EQUzAAAgAElEQVR4nOydd1wU19rHz+yCvUVNT24Sb8q9aSY2lLJ1ZsGKvSZq7L2g0stSlu27INJELGDBitgVBQQsqAiCgNJ7751tz/vHAtItMbne9873cz7LMOWcM2dmfvPMcxoCEhISEpL/MdB/OgMkJCQkJH83rdKfkqPwOBgq9g2X+EVL/CK1QewXKToQKT7QYblt018RpH6R0tc8RHxAm8PbkgMREr/bEr9I0YEI0YGIvy6TZCADGcjwXx06Sf+z7Ka9B66JvK+LfG+JfG+JfEO1Qbg/VLS/fflm+3qR780OC6+yHNpnuNnjPmLfW2Lfm2356ZS62DdU3GG5fb1wf6hwf6jY96b45Tl56fLrntpfF8krRvjuRPL/uHz+5lMjy+fdObX/J+XTSfrT8xr8j970PHLLMzDcMzB8X0CYZ2C4Z2CYZ+Atz0Dt8lsPL4/cO+C2d0CEZ8Dt7pu8AsO9A1qDVw8HhnsH/BV5JgMZyECG/+7QSfqrG9TPM0uT0suTMyqTMyuSM8qTMyqTMyqSMsqTMiq0y8kZ5ck9LJe37dzbcsedtf/2HUmHkF6ZnF7ZIcLOB6b3mKs+ctJTJG/t1P7SSN7iqf3Xlc/ffGovjeRvvvTvWvmQj8a7Uz5veGqdpF8DGgDQdAtqAHVP68lABjKQgQz/jaGz9GvUbSvbN72D9HgKHTeRkJCQkLycv71x51vV5856rwFQv83YSUhISP6f0pf0azRv147WtP+8rV01nT5VSMOfhISE5JX426x+TVutQa+btb9NKk1RRY1C3dfOPUWt6c3gJ18IJCQkJF34O6W/q3umur4xKjblUVqBEgAA1AAqgMyyllNX79Q3NwNAk1JVXlP/UuFWdU6mi9KT0k9CQkLShf/YQA5qgLKa+pO3Hq2yOyA/frWiSQEAKoDkkoY1lvLCqkYAyKusPnUlorlPB75W1lNy8q9FPSiqbnyxioSEhISkF/4G6W81u5taFPEpGYfPXTsUEv6stFm7QQFgu+/cl8z1vGMRdSo1AOQ2NrJ/23Py5hMlwNOC4u2Oe7OKazt5f1p9QxrQtJr4Gfkle49dd/QJ8T4ZVlZXD6T4k5CQkPTJ3yf9DS3K+OdZXmduLrH0M93u7nMuvEqpAYD00lr91ZL3cctz99JbAMpVqj9s903bIEyqhsTSit/3SM/eetzSoe2OqrVK94X0Hzh769D12NSy5q0uPqeuRTUpVaT0k5CQkPRBJ+nv5hZ/my3otccoAZ5klrv4hTB+524SBDwvbQCA3X5hgw13Ga2RxZe1NAEcvZHwMX3r+n0RcbWwUXBqE/+wAiA+t1B65PKT/Cp1Z+c+AAi8g5z9zpc1tdx+krbJxi0hu+ANskdCQkLyv8NLpb9LS5uXNNTpkcbm5qLSivqWF4qtBjgT83zcUpepm6W3U6uuZjV8v0xKGb9pteRyiRJyG9VT1nqPIOxWyK8t4J77fqHTpeSys0/SR01eQ2ySn76XeSU250zoQ2Vbhu4nZV2+n1zW3FLSoNli7xGTmvV6ZUBCQkLyP8ZLHT7dVf6VdL9jn4BmhSIpPffM1Wiez0lR4LWo1Jp6AAA4eDP5Hxyzn35387xbg1uF6NDshrId1souPaiEI7HFozg2/YwsP5wjGcjmfr/mAG3nwX4TNgybvGnCHx7fzXVayj0RW6R6XlRb09SiTalMBQFXY6/dT6xpata+oB4+zdwbeEF6KDizrJHs60VCQkLSzt/RwkcDUN3YnJSZdzoyYZ7FwbHzuUttDx64HJutgE2eN5CexZdLfL9deXCAiQTRXfszufrbAi1OPP5dHj18phQxXTFcjCbbD5sh3340gXcxkWN1afQsyadz+PSN+3iHQgtqWwCgsAEsvK5tEAWnl7e2FErNLz0f8eRizFOngzfdjt1oVpP+fxISEpJW/pT0v7DsX+b/b994M6Fg4lJn9PO6T2c4L3IJloWXT9hyHE20oOICHWMZhZBgTD4ysH9vhuSbVQGDZ7ojXIIIOWKJBk53ny+9c/CxUh6l0tsV8v1q/1m2wV5XHjYCRKRVLHQ4PYxp9flMrs/5B41KtRrg1MUw/9PXqwBii+rt3Y83qlR95Y+EhITkf4m3ZPW3SX/3sR/a12j/qAGOR6Z+PV+C9MwxmtNPG46yba+Omr0PMYQYIcMIGYZLMUKGGELE5L9nKtNlcHWYzlQ2D2PyBnN43y3z/nnNkVGmstGzJJO3HNvsHbZBdObH32U6DC6iuaDJ5n7Xk5oBFADP8ysSMsuLG1uOXos5FxavfMuDUpCQkJD8F/N2HT7qVxlATaEB2dmYj6a7ILoLYvJGzPYYOFWOMUUYLqPgMoyQIrYY0QUjZ8m45zLcrmSZWh77ZJr9YLaDLssRGdkjQ0eMKUAMV12263szJANYDsjQnsISUtiiIbhDSGJBqVJzL7mgSg359eB57LLY70xZQ/NbPU0SEhKS/27eXPrbrWg1gLJbg8se91cCNADUgCaqoJljdQExXTFcglj8fmzXMcsPj5rrSyWkQ2a6j5jlNojgjWDtWe8aWArwsLje6Wz6Yun9b9ccx1hCCiGmsgW6bBcdpiOicRHDlYJLKISYwuCaOl+x97/mffK6s2dQRELeydDHUYl5hZU1GgDS1U9CQkLSzhtKv7YJTYtardBoyho0FyKfZlU1qnp3+LcAVClVjwrrHY89pG32HbPEbcQsdwouoeLCfyzxnecaJgwt+edyf2To8uECT5vz+XtvlmwWndzm7JNUBfKrmV/Ol3y0wHOIqReGS6hM549NXadZHJ1pcfjL2S4D2E4UlhBj8qn6u60CHqaU1JZWVMelF1mL/XyOXqhTdh/Uh4SEhOR/nT/l8Im4HxcQHBaXXzt9nUtgWOqT7IpGVSeHj3aohoL6ljN3s3/nBnw333k4xwmjOyOaALElFI5MhxAyrK9t3v9optWx92eJqCxhf9zlu6XuTifiEspqy+sanhTXTNnojwxsEVOAcCliuo7gODqfiCyqayqpa/K+8niuw4WfVx0YSXBH0badiH6mTVcBUFhVXdXQqCR1n4SEhKQbf0r6z4fFzNnIC4rJm7rdS3wuaY2dZ0FNbftWDUBpk+J0TC57u/8ojsNANhejO2BMHoUQt9boEjKMkA40Ef600sP7Ts5CWXR/YznGElBp9qMI223yYDVAYmHFV3P5FKYLRkgwXIz0bWeYH00rb9Emce1+4qFriddT6p0Dbq+w9n2UWdCedPsCOXInCQkJSRf+lK+/tFE1bbPsN9HN+c6X59uccD8dWalQatrc+o9yytfyz34w1ZbKdGq12XGpjomb7lR3hMsQLkFsMSJkiMl/b6rzGu+H36w4gDFcKYQEY/I+mS05EJENAFlV9bOtjukYWiA6l8Jw/nHNoTPxJdCm5qXVDSV1zS0AjzOLr0QlFrf2FeuaT1L6SUhISDryp6x+NcD0nT46NNuPZwk27QtPrahv0Wg0AA0aOPsoa/wK+QCGHYXpTMFFFELabulTCKmOsVSXI6GwRIjOR0z+J0v8R8/xoLKFFEKC2KJBU8W/y29H5pRmllXUA4Q9LSY2u48y4Q7FHVe6h97MLk4uralVarT1DQoANUBFXWNds+K1h5ggISEh+Z/kT0l/CwBjszfSsxnAtFvBvyw7cq1KoahRw4HQZ1/NddGh22O4CCNkFEKCdZB+jC3UZTmP33h0If+Kwa5To+f76hIyxBZjuAzDZQgXj5zrNXHT0S84Zkt28mtBowEo0YBPaDpn675vp+/+lti4cKfU90x0cm55RlFlUVWdQqNpUZPt9klISEhelT8l/UVNoLfWG02xG2XiPGW5UHwwuFwDXjcyPphqT2VwKYSYQkgwXIKxpRRca+/LEFuEGXE/NeWLL6XFFJR5hD2bsPUkYvAQS0xpbdcvo3KkFJbrICPzFXb76wDy65rTy2vKW9QlGjgR/sRcFrDF1c9M6O988LIo8FZ8buWjtIL0orK2YfzJVwAJCQnJS3gT6dcAqADUAOdjS75cIKMYWG/yCEssVTcBXHqS+9V8PoXhRMElGCHDCAlGtOk+R0ZlC3Xo3EkbfWSXk47eztjsfJCxgsvY5P79qv39p8oxthTD5dovA8QUjjKVya5nBT/JXS+6OHv3fgvfG8GxuQnlTcUANQAFKtjmfVnvj722ATF2PhcfPs8C0ttDQkJC8mq8ifSrAZ4Vlh8OizPY4Eml2480cb6fUwUAT0rqjDZ46NLtMVzS0bnf3pgHGVrrb/S+kV5xOTbNyTPo9K0HiXm1ZQAWx+IGT5MimgsyckEsEUbIEFP80UKfTYee/mOOAJtijgys0RTzoSw7fPdph5OJB6JTNh2I/nCOHNHs0fjtc80PpJXWACn9JCQkJK/GGzp8rkbFzlzvbLDWfeR04Ucz+Sll1UqA7R43BjNtqSx+N9GXI0KOaC5fzhGcup9aptBklTYqALQD7j/Iqfz1NxH6ZeP7Jo4/rvT7cL4nxpFgHPkAjlDXYJfOxK1D2bYjjZ0HMWzQJDM0cafulF3UyTspBtYUtoCCS6iGdvaHw6ubVfCfl/4+0teQDU1JSEjeHd5Q+suq6xMyS8LTW35a6dPfyDoqqy6pXPXtQiFGd6HiEgouo3Dk7bpPwd0wXIr07TbILyvaYtBKYH5N0/w93h+zd0/d5S87efvy0zLGrtMUtgAxXAayuIytfhtlQY6Hr4uDbtsduPyH8OTPK7106bZUtisFF1NxKWK4jlniEfo0H3rU1L9VafuexEbdFjSk/JOQkPzHefOBHADg2pOirxfKMEP7te53t3rfHzFNhFgibW0twrUOH6lW+hFdOHK2p/P5Z4+zq89FJVy6m1xar6ioqeX5nJuzzU0WFJ5RCwBQDvDrKk+kZ/U+x26n960nJUpFh+SaAEITy6daBCCaI8JFiClENJd/L/e9+bSXGRl7Vdk3nH/mZUXSh6q/2EpKPwkJyX+cN5d+DcD+CzGfzuQhuusAjui9mXJdjgRpK2kJKcKlGCHFCAlGyDFCjjFEH8z3pVlcMth6ZIT+hmX2h3Jrmx+lZHkFno/LKNbGqQZ4lF37xUy70cb2wqCoGk3ryhcGMwAABMfmfDBTPIAjHDnbvR8uGMFxPnMnqWvOuue10/9vYdbJnguFhISE5L+BP2X1X7yX9s1CCaK5IlyKWKL2xvsdTH7tO0BGIWRUlgBN2oN+WvUpa0vgrTgFQGFlndao1477owQ4dvkubbn93gv3Gjuk0oXQpIIPpjmN23BssShqpInjmPmiG/HZrbnSaDoKfS9mdmfzXNNtzRtDSj8JCcl/CW8o/VozPKMS9NZ4oXEWiMGn4J37bbUFrfQjQoaYrl8tcN+892JwZHxJXWN7VO1TuDRrNKevRV2Jim3usL4jGoDSymoz8ZEvZtj73imQXIgbMG7lfLug9Oqm1h00PWj8SyD1moSE5H+PP+XwiUws/HUBd6rdxS8We1MZLlT8xbhsFI6s45sAsURDp8ssj8TUdDLJX+iuWgMqgOLKmr7TLaupO3vj7qV7z8sAzL3OfGG06kzUM2XHqSJ77dXV/XPgbfPK01WSkJCQ/Gf5U1b/geBI/UVW11LLvaPyPp7FpzB4Hex9MUZIXkg/WzjQWOB+6RH0Mo+XRvN6HXFTCsu2iYK8Tt1saFHCK0l/hxnEepJmTdseqjf67TGQ+k9CQvJu8kbSr9FoJc/rZOjUNU6PCotLAGZZHOnPdGzz8svaqnnbpJ+QIn27BQ6n8mpa4BWGW9C8zIZOyS6KeJxWr+ilOX8Px/Riimtaf5RtK1TdgrLtt30+si6hR92HthcDCQkJybvGm1v9SoAjl6JnrnN6mFPYCOB4KGwExwmxxN3d/RghQxw5xhKMwO2t/SPKla0xvLQHVPfldloUSlWbar/k+L5p261WBQfOR2/iHdwsDdokCdokCdosPblZGrRZfHKjNGizJGijNGhL6/KJzdITmyVBm6VBnX6lQZslQVukJzdLT24RH98u8L/+4Fnzy+cqJiEhIfm7eXNfvxIg5Hbcsh3CJzmFKoCg8NSPpvMQU9Sj9GOEDOPIEI070thxk9v1Z2WNfcT8t/tJNACQUqacut2PMm5DPyNLXUNLXSOr/kZW/WhW/QytdWlW/Q2tdGlW/Q2tdWlW/Qwt+9Es+xlqt3b4pVn1M7LqZ2TZz8hqgP6uD4w2eJ590Eg6fUhISN493lz6VQDXop/YSA6lFZcBQEpxw9fzBIjO76OdD8aRI7rLIKYDZ7vv1cd5il7a2L+qva7RvMVxOk9Gp/9zoRsy5GJsMWKLEd76i7GlCJcitgThYsSWIlyKddja6RcXY9pltoTCcP6nqeP1uEzS409CQvIO8qemZQ++fvvmvfhahQoAqlWaJY7n+rNcKOyefT4UXIbhcowjQ0xXHZrtNwuEtoeiMmsUL+0C22seepf+N/h0cDkW0Y/thNhihMtau6G1hU5rOG6dNnX47bSS7jhzz+HnJVWvmQsSEhKSv4M3H69fDZCeW1zd0NqmvgXgxJ3CD00cqAznXn0+hAzhUoTLMFyMjByHEU7EVq9zd7NqexHrHnrmajTwCvb+60p/i0az3es6ojkiXIJwCerpwwUjZIiQYIQEEZL2Baw94GJESBAuxnAJwiX92Y68YzHVStLTT0JC8i7yp+bm7ShsaoCCBsVciwP9GPbt7XzatF7a2fyXU3A5RkgRk6dDs/90pqNDQGR+g7I9Wk2nWF8k8irundcQ/Q49CyITM/XXuCMje8QSIJYQw8UUXIYRbhjh1jappATDJYglRCxBW+AjFh8xBS8CS7vARwzeENzuzL1U0tVDQkLybvKnZunqiLbNz43E0n+YOmF0p+7j9SNO69g+FO1YnoScwpEjXIboTiMI63Xi4LTyum6uf3Xn90sbvb8D3kz6w+PSTHd4/LBM9NPKvT+t9Pp6uf+gae4YW4pwOcaRI1yiQ4hHz3b/caXX2JV7f1mx95eV7mNXuo1d6f7Lir3tYezKvT+v2PvLCreffpexNnrEpOa9RvGRkJCQ/I20Sv/LBz17sbrnmkvt/jVq4J24P5Kwwegufbh9OnT6lVMIKcZ0HsKyM7U4EldUpek99b9u8sUmpaq0rjG/tiG/trGgttH2RNx7M90QQ9CWTwmV5WpsceJ5dUNZU0tps6K0uaWkuaWkuaW0LZQ0tRQ3tRQ1NhfUNebXNhTXNzWpXs/b83abNqkAGjXQ1LHDdI8d2boU6VsayuhtnYimhyXo4yZ8reR7HLnpdY5+y1X4f0Fn8D8b00vbWHem1xv+9TLRZ0pver3+Al6edi+W67vBW5P+9s0FDS3b3C8Nx20pdOeOtn+HEfy7VwDIKCz+ALrtbMuAlJIaaEuju9ZrAGpblDlVddlV9dnVfYXcqvrKhmalptO926zRlDc057Qdm1NVV1TX2NhNo7d7XBnAdkHstoaqbP5QDm+3/91agJqmlqL6poL65s6hqbChuaRJUdt7Dy4NgAKguLY+t6quLYd1xbUNTWpNxwJXA1Q2tmS37ZNTVV9a39zSto8aoKpJkVdd33r6VfWFNfXNqhdzALQAFNY2Pi2qufAgz+fiY79L8WFPi7Ir24ZMeulT8mpP0tutaOk7qm5L8Hal/02PfvuQ0v8qKZHS/7boVfrhJRt6Rrtvbm3TFveLIzn2iOaM4T1Xmb7wAnG0znQpxhIOZNgt5Z5Mq2joo8CCwpMmrZLprds/ef1+vQ2+eht8J6/vujxpvY/ROjee/+UahbLjsRnlNRv5pyav9tBb7zd5g+/EP9yWOpyISSvpuI8aYJnTSWTkhNqmF6awnL6YIzz+qPp5df0KW78pa/dO2uCrt6E1Rb0Nvnrr9htsPDBtz7Ht+26GPM6p68neVwMUNCiXWPpOXuWmt36/3gafSX9IVjsdSylu6VjADRqQBEWOXymbpN1nzb4VzqefF7W2FGoG4AWGG27wmrzOR2/9/gmr9/3uEPCssE4DoASobVJcjcuasefwPxcKP58rHj2N9+EM/lfzhHorZcdvJyjVb34Xvu2nq5t2azqE/yhvUyxfM/I3SlcNoH6FTGv6HsWk8259fSi+8oXSaECteTuX8y19YL3+pdX0XRYvT+R/SfoBAECtAShsUnEDoj835WFGthiTj3G07SN7kH7MWN72QeCGMfmDmbab3a+WKVoT70KjBpyP3sUMrRGTT2EJMDYfY7tSWHwKS0Bh8SksVwpLQGEJEJM3hGltJjtT1fJC+tUAV+KzPyKsdeiOGEtIYbsiQ5uv5knO3k3tmERBvWaGZRCi8xDe2qpHh8n9Zbn0QTnEFFd/O9tOh26H2HyM3Zo6xuZTWAIqS6DLdB5GcD8xsfY4G1Hf1Nwl8wqAY9H5n81wpBjZYywBxuJhBhaT1+y7n9WkaStpAMivVazgnUNTrBCLj7F5GMPp/amOtxJztZHUg2aa2X6KkT2FwcOYrsjIgb7RO620CQAqFBrxibs/LRENxh0Rk4fYIm0PA4zF78/gjpntdCYqsUWpUr/RE9T1+f+znrd3Rvq7pUhKPyn9PR/x/1X6W+mU8R6L++U3R/uRdQCnotIN17kPZHGRkSOGt4/mpp3CpYevAQohRQzeaBOHgFtpis4xa5fzqptWC84jIwdESCmEFMMlPQbEEn5iyj9zJ1vRIYbCBuUG97BBTAcqW4gRUowQI4bLB7OEAWFPO55L9LPSCau9EM0VEXJtU1QdBld/rSRdoTn/tPpLUycq07lDWmIMF2uXKbiYigt16NyR9B3HIp6oANQdJLJGDbOtj+oynSlsIUZIEC7CjOx+WeFxM7mm4wk+SC+ib/JBhlyESzFcgtiiYRynI2HpSg0AQLkCaFt8Ed2FwhZT2GKM7jTd/FATgEKtvhSXNWmVB5VmT2GLUNsA2giXIUJCwcX9mFzaGnl8ThG8hWeoz2vfaXPPqvQ2Ff4tvy1eP64/l4FXPPqVE3ldwe1Lm/5jH2C9nO0rveD6frV2MzZ64m3odWvsXcb0erf4S6Rfu04DoAJIKG7Y7H7pmwVCXSNrRHNsU3xpZ+mXdpjmRUalO05cKX1cVKPqEiPAo4xCo/UeiO6EWj8UWrtQIUKO4XIM1y5LEUv09WJZbG5dxzzdzyz7ap6QyuRR2l5CiCkcPlXgdy2u/YTVAPsvxXxm6oIYfETItY1T+zO4s8y80hpVksvZI425OizBi68WQooIGSI6TkQs0jGyXCu/kVfX6YPjYXb1D7+5Iwa/zQMmRUbc7xa7nX9Y1NHqPxudOMbUGdF5banL+jG4W+RXCuqaASA+r3nCal/E4CNchtjCgQRvrfSyAiC+oEZ/3T5dui0FFyNCjtra1CJCpi0fCov/Pm556VHG27wNX/IsqgE0fd0fbzkPfz5KzZuUzTsh/e0b36b0/6fpehZvSfo1L9u3S5m81tXVvPj7Xyb9L0drynW9u3r8zGl/kpoArsbmLbAN+GAGDxnaI7YYM5YhQorh7dIv6TjCM8YSDmRx14ov1nW4pbWLV2OffTHLATF5WpMcI+SILUVMEWIKOwQ+ojn/a6k4q/qF9NcrVW7BT0YYO2O4GNPqNS5FLNEgNs/zwgPtPtrhOc29ggezbRFbpPVQIbZkCO5o7n05tbZ5hfRmfxaXgrdW/yK2uDVFlqi9SoNCSDE6d+Ia7wcZJe2F0wSwa1/IMMJRW3XcOn0NzfnzuRL/m6ntuwGA39W7w5kWiCVom+pSTmU4j/9dFJtbrAY4cyd9zHwJYgoQIcOYLh/M4MsvPytRKJyP3hnEtsNwAUZIKYQEMQWI5oqYAgohwTgyjCOnsgXvsW3EZxKqVa//RHXI3quvf6WP9C5PymvlStPp8D/F61iLfz6+vyCq1/GHvOXvpL+OVzqpHvbo6wS7Wq6vEPurq7YGQK3p2PBc0yG8e/wV0q8B6KG3bbECPC/E6a/b149hh5iuFE6b0LcO7yzt0ApIimguY+a6Psyubr9Q2t9TdxPfY1tSWVqTXKpDiIaYCN+byh891XG0seNoE8fRxk6jOdxRhPX0nT5F2oYtGgCA1Ioao7VyHQa3w9eGFLHFunQnt3N3tTlUATQDrBEc1zGyRLi4VfpZ4o9n8YOiMtKqG/W3+FNYLhguxggZlSMbYiIaOdVllInzUMKpH5vXegq4FGM4/bRy3720Qm20SoDMevWUNTIKzQG9eNvJEZ3//iyR9Hxse6mpAKTB9wbRLDC2sDV1Qk5luX481fZ6Sn4TgPPhm++ZOCGmEBEyCsPp+2Vu19MVMXll45bxdJiOiJBhbMkANm/c+v0rxZdw82PDp4sRU4hwGcYWDKRZ7fAML+5Wg97tzuz5aQKAvHrF9biMgLDEwPDECw9SH6SX1HbYp1mtTsotDY9Pe/g8p07Vs8Ffr4KErOKbsc/is0vqFao+pP/ldDhGBZCQkR8Wl/YgNb++vWL/1WPslHxP5dFtRVVTy/3UgtD49Ji0ovJGxWu/t94saz1vf2sxKgEyy+rC49NuJWTfTMwJTci59TT3XlpJYkFN5V8y+HjPWWlb26tGt69V9Tgo+kuk/3UuToevhL5RASjUANppR7qn9v9C+t+kiq/jqzYhu3yxw4mBbCfE4lM4Mgouo7xQww7VvyzRMIJr4XWpqcNrtwXAN/TpcJYVhS3AOG4YLh6AO5vYnnM+dU9yMkIcFCHRhhPh0qBbF+8mNyhbb4wWDQQ/zv1omh2VxUOEDOES7XQCiCWm0hxlZ++057NQAYu4J6g0a4SLtW8XxBL+a5n747z6tKqGfy2TI6YAIyQIl1LZQoOtRwQno6Uno7Z5Xf9m2T6MwUfafr9GdvRth+NyK7WxtgC4XUj6dLYIY7q+GMqCkCOmYPg0IfdodHtBlalgz4GoAXRrjN364tEa7CM59h6hmcUa+MMpYCBL21larsPgGm70iG+EcwllY+Y66bB5iJAjpnAEx1kc8gAALsZnf36QNjIAACAASURBVD1XhCZZIboLZuRA1du6fd+Nksa+rRit5dLDvfowq2S1KOTDaU5o0i6kt3sY7jD+D09+0P3S1lpqKG9UbJGEfGG822SzNKuu8zdz2yOUXQOrnE58SNuwyvVMRllDx1RffIe/HhoNgAJgpY3np+yd07b5ZJXVdDiPlx/eLclXmmQhPDH7xyXCj2Y4jl+190JM2qvm9e2LQE/S2WGYk44pvvTJbQDYdz7+c+M9X8wRfj5X8vkc8ZcLpL+s8iHMju72vfkou0zVW5KvmNcuU2dr+vaE9Np/CAAUAFejnqTklrzkbu7plF8+DMxrSlxCZtHthJzq5ta7/J3U+R54a715X07bp0J6WcM822NUQxsMl2K4vGfpJ2QUI7tJK0VpNS/GwSlTgvXhBwPp1hhbhAg5xhb1p3PlN5/3nmArRQ0tix3PDcQdMbaQwpHpTnXTMXHDCAliSyg0J+GpO+2H3MtuMtjsj+h2iJAiQo4REsTg/7Rib26DMq6g/uvFcsQSYoQUwyXI0GmV5KL2qJQazUy7EGTARYScwhb1N7Lesi+8oF6hzUONBmaYH6HQHSm4GCNkOibu2i8exBYOJAS7fULbU08pU8x1OIcZWmGtrwcZRsgphEiXbr+QdyO+TjHX0leXZqt1WOnQ7Tnb3NPVILuaPdrYgcrmI0KOWKKhhLOZX0SZArIbVXuD729yv7jd68ZOz6u73IOD76bWdqz47gG1Vky73L4ZpdXzLA6jCduRviWaZI4mmCM9C8zAahh9977zcY1qFQAUNygWc89SJ2we/zsvtbbnZzqtUj1jhw8aM3vmnoPPS+rarlJPxv9LnTCtj6hGDdACMHUjD/176dglrqntQ+Z1f4B7eKQ10P590ho0oHnxXdujCig04H7+IZqwAzFdsMl7HA7fesWnvZdzetuWoVba+tAvTc91MPUA/JOPKRM2UxlOyMAOTdyD9PagyXuQgTmauAXf7Pkgq6avCpxXEc2+P7A6RdWr9BdWN3kF3//ReP3psHu9x9NXJvvK56teS40GoF4NN+Kz8D+c9sjPlre16fv/LP1/pm2fVhEiUvLG/u6B9J0phFuXcX60k/pSCBlG535q6hIQmdteW/q8rHGuw3mKkR0FlyHCDWOLhnJ4O/zDLjxID76fEnw/Ofhe8vl7TyMTM2palG3PNGgAHmRVfTlHgLEECBfrcKQj5noNMfVEuBixJVS6o9OxO+06dejWs3/MlyCak7YegkJIKEye4eYDuY2KCw/zPzUVIlyMETLEFukyeTs8r2mPSiiqY247ggwdEeFGZQqGM8z3hyZpWygpAa7FF37/mztiuiJcQiFkw2Z76XAkGCFFbJEui7/Z7XJ74dxKKvh5lTeicTsPgyHBmLwxS30uZlbPsvTXodkiXIxw6QCmw2KbA6mNajP/R4OZdlS2EOO4YYQMY7h8sdBzo+ftwIj42Lyqpg7FrgZom9+mtyvY9XnT/iM7HT6cuQcZ2P5rufcyQcga+QXG9sBBuCvV0GbcUteE4noAKG5ULHY+rzt5x6SVwue1oOxJ0nJqNVukId/NstzmfjmzQtvPrFWlNG1LXQ7R9Bg67KEGUABs4h/+fp7jApvA7Iq67kf1PV9mhxy0pd6WiR5v9dyqphUu55CBHSLkSM9qkcNJbSV812g7fO92zEa3fTSaDlloT1TTUwx9XLZOu7XSw1EvCrBbXHUA/FNPqHrbBxL871b4M81OTNl48Ic/fAYRTojugPR2ruBfzK9r7Bhlxxx2Ka4eL1wfpdTlGmnluccYjoQlfWxiS/1x6dm7T6DNAd3tinda2bF8eku90ym99BQ0GgB4UthAbNuPvlu40zOsVAn/Xbyq9LcAVDSoG5WtD8TLD+hWgu1on9Xt+65TDewwtqSLvU/hyKm4GKM5okl7BrFsd3rfaGk78E5q4ffLvRDDBbGEiC3BcOmQqeJP57qNWSD75zzXr+fxvp7j9M0sO9Otbjml1dB291QrlPb+ESOMeQiXILZo8HS3MSsODZ/ljnAxwiUY09HqYHT7xDG2/jcH4s4YS6h9FVFw0QA2d5XsRlaDQnAsahjh2OopYvJHzt5rfzo5sxainpXt3h86ZvFexOAjwo3C4H03z/nGk3TQegABNoiCBjHtEFuEcMngmR7/Whc0gBBhuBixJRS66xpRcHvJBEU9HTXdFbEEnZo/4VLEFo003SsMLTbaelCHzkW4BLElwziOtr5Xs1s0lkceD2XbU9kC7bBIFI4UY7hQDaxH4zbGOw7uC4ktaWiGF3e2RlsyvZlE3aW/WglrhKfR2PVjlnj6hGVXATQBPMpvpG07iE3ePXTKxuNRWWqA0kbFYpcQ3ck7J60QPqvr2QyrVcGTwrrwlKL4wroaZafbSNVt5/a7pZ0eHy6t1Z+QVx72rPhhbnWtUt1RQVS9KU67E6pzVD3mocuaO89zfpjvosNwRGwpMnL6aZnkamxa+9a2J0TTpZlIb7F1z4BG0+nY3k6hj0x2ec9pet+5I3UA/FMJlAmbR04XWR+LSyxS3s2ovppQZHf84RcLpJiB1UjC7uKjnD6Sbl3b+ebqVRJ7yU3bW6TX3IrOxgxmcXUmbgmOTYG2mVO1dG+d09O79gU9+4s0XXPX/ebUbo1Kr5qwdj8au9bswKMa6HrUO84rSb8SIOhK9PHr95qUL27Kl5xk79Kv5ejt1H/Md0d0J6y1DWJbuxdcqkuIf9l4fJ448uPZUtPdPu3SfyUhdzCbi5iu7831em+uD2LyMVyEmEJEd0UMHmLwEN2RYmA5wzwgt7IBADQaUAOk1jROXCmmMrgIlyAm//v1JxaI7743TYixhQiXYkynnV5hlW1ukM1uF5ARV1uRixEyjMUfPc1x743cjAbFb/ZH+rO4rWY4iz98ltxo97l5zlfHrz84mOM6eJocw8UYW0gxtNzpeaW0tlEDoARIKm02WOeBGdlhuATDRR8v2T9bdG+osZDCEiJcgmjOK1xPtZeJ/424fixHxBZ3aAKrLRnJoOkyU+G9r5Z4Upg8RMgQU/ypqfBYWEqFGnxCsz+a5kBl89tGxJNSCCkFlyAGrz+b99FMwVbZucLKmk6XrA8Dshu5jbCYexqN3TB5U2BcSQO0PTDuIY9/XiL8dZGT/7WnCoDSJuVi5xCdyWYT/xAlN0Fcbr3vuTDfkMjHWeXqtjTrVZr4rMLQ2OS4rOI6hUoD8DSn+GpMSmR8Wj1o4vIqfUMi/UKiYp4XtGewUaVOyCq+FBX3KC2/BiAmvczz9M2Dl+4+L6rXZk/bLis+Iyf08fP7z3PrFUo1QFZp7bWYp+GPn1eoIacWAq/f33v65rVH6VXtDtm2905KUc2hy3c9Tt+6m1LQBHD/ee6FO0/j0/Mbld3aQgFoABQAh8JSBkza9Mk8t3+uPtGfIxxosFNyJlLTSbM0AFCrhpuPM/aduRV4/WF+naaoXnP1wbObj1KLK+vbd65UqM5GxMtO3PA+F/Egtbilw8XJKK668fB5aExSpaIlt051LPSRx6mbF+4n1yhf7KONpKBeExT2WB4U6nk2POxJdoMGAKC6RROTnHMxOuFucl51k6K9rNJLaq4/SAmNeZpdWttF+OoABKcSKBM2fThT6HsjsX19E8AW90v9jKyQ3h77Q1G1Lcr2eyCloNr/0j3Z8RvHQmO1n3FaS7tBoX6cXngxMu5JTnEdQHRywb5ToUeuxWRUtLy4ATUAACWNcDb6qfvZcElQqP+Ve/E5Ze1bS2sbrtxPDn2Uml3ZklBQu+9M+OnIJ3dSCldJLw8ieFT93VZHIiLiMksbmvJrWm7FPr8ek1jcrM6th2PXY9yCblx+8LwBQA2QW6M4cuWOPOjGtYep2qFW2q9sC0B0ct7eMzfdTodeupfUsUQalKobj55defAso7SmFuBSTOrek6GB1x+mldZqYyiqqpMFx369bB+aZGbqcOlE1LPskrp3sRVnL3SR/h6MPgB4mlti8oeD6+Gz2pVPUrOyiss73Ot9GyU9b72T2TB5w2Gkb4uxRV2kn4pLvl19bEvgM+eQ+AW7ZAoABUBYfM703b7YFPPR8zx/3nL20wV7BzHtKXQnjJCgtqb9FFw4hOA6n35a1WZpNKg1B2+nfzjTicLiYbgE0V1mOF2R3MgZyeFibAEi5IjuuEZyqaheBQA1Cljueh7RnRFb2tq6hsn7ZoHgRmZTRmOL0WqhLpPb5pISU3EBojkifWtk6KD9CqHggv40qzlWxxKKq9vPnBsYPWqaK2K6YmxhP9zZYHfwOr+k4cauFJYA4VJEc17mckpbQEoA6blYXZYTwqUYR4Zwcf/p7rpT3VBr8yfRv9adHDFTjrGFiJAhpvCn5Z73M+qVAJHPi/8505ZKd2zviNDWD1mOcClGdxpCtzT3vlJU3dCx/F/Na6fRgKZKCauFp9Gvm0aYCPb4385sHWEPMiubbsSmh8ampRXXqAFKGhWLnUN09Pf8vNrTN6aauT1wJH33aLYFe9O+M3eeaS9IXo16i+DkN8ZbtojPZpc3AIAg4Ma4xS4zdvgeiMiYbnnsPZblaLYVY4PH8YgErQ+lrEHJPRD6jcm2deIQn8j8KWu9h9N3f8Sxmb7zQGhisbJN+jc6+fx7+p75u33zKms1ACdupUxabItvlJ14XLvU5cInU22G0ff8sMDV8VBEccML8/xGQt703Qc/5NgMp+2e8oc0+Gn1Epdz38yytvY4V1rX1GOJFDaqNntEol/X6W8J3HE897vlfuiX9SuF5wsbXnxWqQDKmsDpSORPS4XD6Xs+M7FbJ7sScK9y3G9ixirRzUcZWisyp6pxl+eVMaZOAw13jWBa6K1y97/2tE7Zmr2Aq7EGK4T6v7sevZe/zi30YxPbYUa7v1/oYuV9raix1a5XAjzKqVnqGPQPU8dBRruHMy1/XioWHosurmuuVWj2yE9+bbKTvcnjYUaBNm8tAK6BEb8u4hottYlJK+tizNYB8E8nYBM2fjjT1ftKfNvZAACExKR/u9gN6VnOsQhIL63R3q63kgpN9xz6gLAaqG/26TTuEvtj0cl5Wu3Lr2ra5X5hjPH2HV6hXuE545e7D6Pt+mSq3TyrgDvp5e2ZTy1p3CAO+WqOy1CmxQBDsw+MbY23+5yNfqp9U91LyR67gMva7Ms9FrfQMXiIgdnE1fs4uwI+nMHXJYRUFu+zuRLmGsnD7IJrTysYqwUTl9ifeFyzVn7rUxPbIYZmPy7i770Ql1ijXCkI+YhjOdjA7Pt5jh7nH9S3fQ3UAxy4njRxpWwo3Wwwzez7hYJd+y7n1rS+JgtqGwxX8CaskAnOJjgcv/f9ItFQo12fmNj9Zh/48HkeAFy4/3TsUv5Agkdh8UfPFH1jahdwI/klVWnvEl2kv6s3Unvhg6PixuCbNkpDypqhQaHe5br/XFQM9OI+6xZhz9ufVWrY2/yR3u4hM9x1TeSok9tHigycP5vv5h6a5HM+WgOQW9O0mHsa/bBq7PoAU2H0p/NlBlsDnYMfzxNcwJhCrLXzqpTK4n0y3eFUTEG757WkWcHZdViH7YThYozlOnyqYM/xhIN3M0YTtq31oob2ixzPZFU0A0Bifj2x/TCiObVJp5sO0+Xnxa6J1Y0pDS2/LOPpMJxQaz8yKYUjw3ApBZdSCClGSBEupbJ4M63PPsir17Y5UwNUtMAMy0BEc0S4mMp0+WwuX3Atf/ex1GGEM4UlQGwZorksdjypzW15k3rnvlutDUA5Mgou/GCBz5BZHm1DCUmHz/HpZyLDcAnCpYjBn7TWO79eDQA1TU3Sk+EjOQ4UJo+KiyjaihOOdsowGYUQY0znT2bxrsZnd76yr+K1U6tBowHgBV4baGCGjLijpwum7gl0PnLt9tPCLgZOSaNisUtIf4bdqJnir5f7o1+2Yvq2SN8Gjd9mvNM/qbgOANIqNTN2H0bfLZ1hefRZaQMAbN97qT/NetQ0/j+XeqMJZmj8bjTZGuntGrdcGplRCQAFdaq14qvol3X/mO825rf96KfNaKIFmmKFJu5kbT/0JL8MAJoApm4VoZ/XjP1dnlZWowLwuJA0nLZrGNtm/MbjaMJONMUGTbFBeuYfzXA5citFm+GEvFKTnf5Ibw+abEnRt0JjN4xd6z9qjjvSM/vd8Xh+bc/TR8flVUxY44N+3TjfISC8HOZwr6JfN45b5R2W8qIbBwB4nrv7Psca6VkiPQtssrmugdn4LceRof1H0+zPRKWqASoaW7iHwgfRrNFkS2RgjQzt0K87xszkXnzQ2s9DdibmPY79IIbN2HVHdAys0CQLZGCHplh8wLEKvJ2pvWfyamqX2h9HejvRZGs0yRJNtkETdo1i7vK8GKsEsPUL0dHbiultPx7Z2hSiHoC11RtN2PbzAru0qq7zRmsdPmjCxg9ntEt/K0mFjbTN/miS+bjl0kc5xRqAlJJ6fJsf0tuNJu3SoTmgiRbYxB1zLfzz6gAA0iqa5tudQb9s+GrJvi8WeaEfNqFJFsjAGuntmGN7Iq2sRnvVzORn+k/ZjiZZIAMbipE90rdBE3cw1rll1wIA3IjP6GdkMXiq8Mslnrp0O/TLzombj/680huN20nFxTqEFE3cNUp/XdjzrJOPqz6Z5qCrv3P8lhOUKRZosiUytEMGNp/PExrbnqJM3oP0LJGBHZq48+fl8vCUYu1JnYp+Oma2E5q4CxnYoClWSM9ygJG567Go6hYFAGTV1L9PWFLoTj+sPjiMbYcmmCEDG2ToQJmwfbMsuBng8PW7w422Iboj1ViODO3Qt4tEQfd7qPN5V3klq/9GbOqP8x3eN+EevZeTVQf4SifBiajmbl6zHrSkQyOzLmRVNu+QXxi/2vPXLWeGztyHWG39pLT1vbhYl24/bbd/ToMCAFLL6mZaHtfRN/918/E5vNCxv0nllx4/qFTNc7mIDJ0QU6CdRIVCd/h8mlV0epH2NFQAkanlX84XIpYAEVIqzUF/k194ccvByOejCWsqm48IN2TgMH1P4NPCGgA4HZX07SJxh560ch2mk+EayfO6prAcxb8Wi3SYHScga+tFTMgRR4YIGcZ0Ndp27F5OBUBrJefx8KSvF0kQwxURMh2m46/LBQ/Klc7nM4bjXCpTgNgyRHeZb3eyUgkAkJhXOX3XYWTogAg5hksGcVxp5iFjVhxBDEFbmUjbhmeQYAxX+mbfqrbWq6XN6nWCc6PZFro0GwqLjwgx1rG3My4eTDh6hDxueu3W2a3+vbiccqO1HmjSbirDGelZDGbYjFvpsVZ09tSdtPZPCa30D2Q5IgPrL+a4ul9+4nEtacrWY2jyrs9MXQNvJQFAWhXMsjyBxq4xtTv9rKwRAMy8rg/i8KgMp8FM6+3et71Cn8yyOz+QZjWAbrXF7ZIGoKBBs14epmNohQxs/mEqtA6I2Hcrgb4tQEffnDrZzO3cwyaABoAZZu5o4o5xq73TymuVAPsup442ccQMrIcTdma+YYciUxa43qAaWaLJ5uslp7S3q+R05CDDnUjf0sTy1KHbT2UXEr6dz0cG1rpM7gremfxerP7zD3MG0C0HGu429znXBGAbEImN2zKQZut19VH7rZ5dpWFvdEd6O0ZO41kF3A28nbRCcKm/kTky4n4+R3j2ToYGICq98OtZdmjybqNthwIjEnlnYr9f6oF+XLlBdqG0EQBAHhz7/kyhDsOhv+GeHT7hAZHJ85wvD8G5gxg2a0Qh9aBRApy6mz2CvlOXZk3bFnDwVoLdiXv/XLwX/bzKeJtfclnDhUfp3y2Ro/FmdoejaxRqAEgqaf5ukUTHwGqd6GyZomt3BK30Yz1Jf16NmrPzCJpo/k9Tx6iM/GYAfmDEUJr5QLr1ds/wgMjk9R53Bk7Z+fE0+4O30gAgrbJlgfMlipE1mmL13SI579Q9t2sJk9b7YQZ7BtAtAsOfawDicyp+mrFZZ+xyg40HfG8mHIpIZu0K6mewZ8xs7pUnFQAQmpA11NgFsflUmu3YVfuJbf7WfhEB0Xm07QH9CVcdmu0chwvCY/dSK2tPPCj7cp4YM7TWNbLY4hHmE5ZkbHVuANsRGdkNolsvczm1PyJpDu8yNnn3CI6Tx/kHAFBQq1loF4h+WfflApnjyftHwxPp2w/1N7L4cYFDYmk1AGTVNHwyi4eMeP0Z9uwd/kcjEi0DIkfPEKIJO+ib9j8ta3laULFWdPnjuTLMwHbixiNb3K9FJRcr2+6BDmX7Ot7Vv5G+fP3tWX5aUDN9TwAau3Wm3ekTMWX0te7LnC/k1LUKSXF1fXxyWkNLS89RdPr74t/SRuWD/No5tscnbQ36fNkhxBZ1mcwLM7T9aalrWh0AQG6dYqUkVJdmPZjDWyi4djKuLCxL4Xz09lfT7f4xV/TZXMnncyWfzZN8burMXCtOKiwF7fjGSuVmSchQjot2XnVdusPvgtMNAAExmSMJO4pW+g0d6Rt976UVA4Dg2M33cHvEErZ7TvoxuStcTmQ0KHxvF3803YXyQvrFVJYrhcWjsPgYLkIcGeLIKWyRrqHFKsGZnLI6rVN4vfBkP5o1pm2QQ7islV/JA5DeKBpGOFOZAowtQ3TeLKug/DoAgBvxad8v4iOGCyLcKGzRMI79nhOJ03m3EMNVa/i3OsQ4MsQW92O7LHI8W6VSa8+0CSC9vO78o5RVsuujjJ2GTxNQmK4Ujtb2lyFcOojj4hQYVd32sGt6fyV3rxnTrgx5WPDrCg+kt4tK41KYLsjADunbfL1QJD4eXqtUQpv069Ls3jPhORx9oI1ZfvERmrB5KM6VnbkHAOlVYGp1Ao1dPfuF9N8YhLvo0G2X8K/kNgAA3M2u+GGJEE2xmLTKvahOnd8I6+RhFH3zfgyHbR5XtL0ITkZnfrdIhsabLeWezKiqbwGYaeaOJm4fv9qrTfqfjzJ2oNLsp1ke0w6Nej255PPZzmjcrkXcIDVAfp1qmfNZ9MuGMYvkwQ/zAEAF4HA44j0TJ4qRzR+uZ3uU/uoWlUPAHTRp15fzxYFhiQBwNCL+Q2NHNG73lr3Xq9ua9x2Pzh4zl0+dsvN34bViBQBAYlnDpNVuyND2s9n88/czK9UgPPuYOmHD5/NkB2/nAkAzgMXBW5QJm39e7hGWXAQAbsGx788QYAZW0yxPZ9SqASA6v+4LUy7F0Gq6RUADQGmjYq30OjZx6zeLZKcflmoj2el1aaTBhkW2xx7kVOY3KYx3BaBxO0wtApJLq5UAR289+3i66yCGzeGbz5u6efz6kP4aFcyyPI4mmn9qYhOemlsEQF8npurvmbLpUFqNEgASyhUGG3x0DMwX2h8FgIyqlgXOF5G++RDCyTEwSqsU+68lfj5XhCaabZFfKa5vzq9s8Lv4aIskOCQ2X5vKvlvFQxiWn81yCridDQA3E7KGcpyQocM3y7z8o/KT8yuzS6qVAC5BDwbjTtRJW49GPW/RQBPA8ej8L+YIqIY29G1HMmuVAOB/u3AY2xbp205Y45lUUQcAh28nUfW2Uo1sXI6FA8C5mKxvFknRLxvNDkVoeyaeeFj+xVzRYIMtfjeftwDk1DZ+NssVTbEfs0B0/XklAGQ3aEztQtD47eP+8ApNqtAAXEss/3X1fjR2wybPqOxGUGigvVqrQ+G+4wM59PRmqm5sySxragKoUcNa2Q000XzoVNfl8jsTNwT++Nu++1kVAHDtYaqFJDD2WaZSpeojqi6oAZQAR24nfTnDlrC++MPG0wgXoRfju8kRLkU07ldz+ZeeVAFAQROs8YhG+hajZ7szLc7Ptg+avvMAezVfdjw0JiXvdnJeRHJuRHLe7aTs+IyCeoVSa/InVSgnrJBSGY7aYRsGcsTjNh5aLrnCsjg5bKqgdbgbmvO45W43nmQBwB7v8wMMLTG2WNtKErElI4xd3INj85rV232jB+FOFJYAI2QIFw8ydv1qvuif8wUfzXAZZiLAcDEi5FSOlEKz//ci8a0n2QAQnV41aZ0PMnLQjqUzeLrUYOepxcLLBrvODTQWYbgY4TJE5xnvOvqstAUATkbFv09YYiw+ItwobMEwluXhe883+UcjusuLamdtYPJHmLjYnYjLV0JpCxS2QL4SigHKAFKq1UcjUxZzz3w+R9TfRNJeiTKQcHI7H9fc7Q5sUKqCo5/tDXnkfj7O/fxjr4tx954X93j1WgAeZpU5B0ZOXuU+mLabYmRNYfKQgfUXM+0uPi5UAZQ2KRa7hFANzL9ZJL2a1GoXnLz7RHfy1v50W/6JSGiX/l9Wd7D6QwezuUMY5kfvF2k/litV6g3SixQDq+8WSR5l1eY2wjq3MDRh27dL9p592DrxWUmzeoFDMPrVjLbB60FWsaLV6u8k/SNxm2G4g21gjNYkeZxXMmHVXjR+9zzbU40Aj/Pr8Z1H0dh1c7nn06pbb93IZ+Xf/+6Bppiv5J3N60n6n5VUmez0Q5P2GGw9+rRCCQAxuVW0rYFovDl904GHmaXa3YSnY96f6jRAf/uRO7na1GsAdnvf7Ee3/3SW4MKD7Owm9WpZGBq3efL2E49rQXviR+6nj54uHMS0Ox6eAABuwbEfTnfVnWzmcjqlWgMAUKBSfb+Qi/Qt6Fv9GgAyKhvoWw+iCVs5O32LVa3qklledevx86f5FVXNSjXAZrcL2OTdX820C3+erQDY43FxCNPm4+ncJ4U13a9yHQD/VCI2YVN36a9SwkzLE2iS+Wcm1uFpuY9r4bsFLlRDi43+8aUACoACgE1+sUjPfMo6z2oVpFcrFjpfQOO3/Lp6/61n5dpIMqoUxO7jaPzOWbsPJxdVAUATQFEz1ABkNkLAnTxTp2v96LafzOL5haYBQGhC9jCOI5q4Z47DyeIOH6ySs/eHsh11J2w8dz8BAFRa6Z/NG0Cz2OodVaNWqwEuJ1W+x7bADGwXcE9qDw15kDSasEbjd1n6XQEA9+B7g9kOuoY2AQ8zVAD1AJkAekZQVAAAIABJREFU49d560w2M/ONrtFAXn3jpzOd0WQr+sa92s6ZJS1gtv8eGrfpx989Lj4uBIDI1PKJa/3Qz2t2+kRX9Cp677jV34OnR9OgVHufiVyxR/akqIJ3/hHSt0cMl48Wer83e18/Ojc4Me/M7Ti9hVaSU3frlarOh/aaXrtRGZZUOHm1O/XXdVsPJ4/fHoxovA7D+LhhhAwxnT+cxfcKTVcCRGZU/nv5PqqR1fvTeMzd54jdJ/8QXr6YmFPZ0xj0rS1DNCA6G/v+NCcKq7UPLZUj1TWWIjqfwhToGLdW5CIG718LBSEPU2oB1klD+hu296SVILbws7niG08rihQaE/NAKtsFwyWIkCGG6w9/+B2OzItOLzx8N5Ox6ySiOSNCTiGkGMPl2yVuN+KzAcDKL3Qw7oxYreO1UY3lVEKCGHwMF1I5Em23NURzoW3xj8utVQMcuBk3nGlBYQsQ4UZh8UexLc7FJgkuPhliIsCY/I7ST2U6fzVfGPiw4Uxs2WIr33kW/nOtA2aaH1y4x/fc7TgNQHJ53RafyH64ELElGCHF2JIRJrwjt9K6X5ayxuYFNgEfT3f+cKZw9HTXMfP44qDobnu9MFpq1BCfW3r8bsYfstCR01wpNIf+dNu10ms1SnV5i3KxS4jOFLOfl4ljCzXaG+LMvcThjD0UAyunwDAASOtB+m8MZtmNZOyIzC7T+gxrVRpBUIyukdVX84TXHufmNsE6twj06wb99X7RmQ3tl3iD/DL6defYpaKIlBxlD1Z/6ii25fvGdvKQJK2EJ+SXMzf5oHFms62D6gBup5ZNWrMfjV27Ye+t4rZGAWkVKr21vkhvz4pepP/Ws7wPORZI32bSlmMnYorP3s32D89h7DqNpti9x7Y6Gv5Yu5ul362hbPshBltuPG+tX63XwN6Q+EFMu09n8S8+zHlW3WxqH6xrYP7RLAF7u+/sne6zzfZOXiMfxnFEk8wOXL4PAG7BsR9Ndxmgt9X7elYDgAagsEUxcbkrZmBpsMmnESClpPqH39zQxG1zrXyae2kD6n3lycczXftNXH/gdmopgMk2N93JOzhmR4oaenBK9yH9OVUqfMcRNMnia1PHyMyCqxnKrxcIdI2svv3d08TMw3SnfOoOj38vlaEp5hP+cM+sVKRXqxY6X0S/rDXedfRJSas41AMscjyLxu00WLsvNrsYAJoAIpOKLDzOMdfJvprrMojFpdLsPjPl77+RCu3SP27HauHxjn2sRafuDsW5/SdsPHMnAQAUAMej8780dR5MM+OeeFyjBgAISysbxTTrT7dbL72ovXuvx6ePmctHv5iZ+1wGAKeAm5i+1QCW86S17qZmHrN2uk3d7f3hNLuBhntWuIZUKjX5DU2fzHTCDKxMd3trPwsqlWBz5AEat+77ZW7nH+YBQERK2cS1+9HYNdu9I/+/tes/e/vxGPYm5pb9dItzuhwJwsUYLka4GNGcje0u/vK7+N8zd8XmVbxCQq0vBG17jNCnBUabD+gYWg1nWlqdyhy39SwydOlc0yvDmK7vTRdYHE86FVdhsMkLGdm8P9XJ3OdqYmH1ncJmv4iSkJT6xxUQndUcnd4Qnd4UmdEUld4Uld4Qk1lbr9ZUqdXMrT4UhmMHk1mKCAlii9uHj0YcOWK6fmHqfOpuQnIDTLU8jRnYYLgEax3CQfDVQnFyWV25Sj1+zT7EdMUICcJliOFqvOdkXjMAQG4LrJBcQ/r2CJdTCCkysp+4wT86s6KwEWZZHEWG7UNVuyHCrXU0zTa/FiLkiMabsNrrTmppNYDLqbihTGsKW4gIN8Tg/XuB642nGdczGn/+wxczcnjR0JOQ6TAdx6+UheUpHYIShhlt72dorkuzw6ZYjsatnY/f0Voo0itPMLqLthcCxhJ8Mktw9XFW96tS0tjM3u6H9K2RoSPStxvMtrc/HNFln4oWeJzXdP5uRlJhlfYpUgHk1SndrqR9OluIGdjor/cubmypUKgXOZ/XmWw2frkopbq1Nfe5mOTRhBWmb+0UGA7t0t/Z4TOYZTeSvuNubqvJXKvWyM7G9qfZfDFXEHw3LadV+tfrb/S7m/2i6nWLxyX0q9l383k3n2YqAf6Pve+OizJJ/n4Aw56uG8/b29vd25x0XSM5D6AoYsKACREBA4jknHOOgoABVEAQETFgABEVQRDJUZCcw+Q8z/PU+8czDBnRdfe8+7314aMzz/RT3V1d/e3qVKVtEYlInlhtOLrW/ynJ7vP1LqdzWgi7u7aXrGlxDllludUxlQ2QW9uz/EA0stz4aOT9/pFO20LBZYzjEClrfZ+MLgZngg1DRyE4q2aegq04ye/9DSHf7Ir4ZnvYNzuiPtQKkyAFIFLmduce0XEAAIuo7L8puyySN8sZic/MwuHk9YoFqi5fbPa9WdpRPchUs0iar+L8nrLzPOkTC9YYL1hj8L7M4Q+VrSSWH4q+kg8AYdcI6D924XErjzhNyOMrGQVLyDsQ0F/TM/ztNn9kjbmOwyneNN4nitq4ssaxYisPnThXmt0Gq/SCFsgcd7tYShVMYZ1NueBDpKvuYiocO41I20odDH3WNXi5gvrNNt95io5zFeznSxkvkDy4QPLQ+3Im82RMpfa4V7b2v6RhBPSvt06uHhDmxQfY652BrLJcoxdS3NLDAXA/d3vZDp+PlK0WSBp8q+205kjiAhWnLzf5nL3fDAC5VW0faHggq82PBibDROh3m7f6yDjo3+T1gbJFaFYdAwcc4FHL4Keq5u+ruVrF3iea917lyx+3+yMrLG1jswHAIT4bWWM7X91rnpzlfEnjBWsM/iZ5+EMFs48VTXWsY8kcfjeb+/lGjzmKzvvcLhLQT8PB81LFWOh/UD8oaRSHLDc0P/Vo8H8M+mv76VpW5xEZpznEXaERABLXCJ6jETJXyWmnc1IrlTn7/AQA6ffLZPQ8/6Zoi8g6bvV9cDCqaPGWcEQ1YJwjB/UQRM3/w43B69zvqdplzlVyQKTtlEzONtEFAyg4nr7381aXZfvCpIxj1xhErTkYuebgyVUGJ1cbRK4+ELLd7kzzMP1eVdc3O4IQUsAo7qsHi2kEI2NCBSBrwxBV/3+uc015XHGzkfrLvjhkFGSDxdV8lh+IbKEyX1KxZQeiEJI/EWYAUfLe4ZJCxNZqGqTruKQg8m6IRri4epC4vP2egNwWAXbmTslXm30RlRGnPRqhiEaomHqo8MMo9Psu2R12t6KtlQ0Hg+7PUXAgfFQgiu5aVomV3eQeDHTcUucoOompBY84dAudq+yuYBhcReM6Xar6QM1ZjOSDqIcgpOCFmgFSR8+YnLx7PPzGMr1QcTU/RCNUXD1YXMlV6fi58o5xIzSx3D/I5m61if9Ezf4jDZdFJIcvtVz8kx5MaLK7zxpIRkFfqZl5nn9EHTPL6gRYaRCKSNst3RvUw+KQBZiud9YcGQvJAwFNDCH0ZxbX/V3dQUx+IvRvdklvHIH+90muHylbZ9cJ+w4VxbwuFs5VdPx+R1BeTW8HB4zC85DVJisN4u7VCavABzAMuYWsMF9zIPzxiy7+lFY/ye6LDa4XHnUS0F/XR1lvmUBAPwvgyUuy3JEzyIrDe/1vtzEBAHCAZ+3M5QdjEBnbAz5XuuhC6Bfti7RTOTpuV+cpu8xV85FQ8UTknRAFJ0TeWUzZay7JX0zeYa1NSnUPHQBczuV/qOa2UN48vaybuNRNw3H3CwXvqbp+sdn3eklbPYWj7ZwhJmO1RP+M/62++LzuuNz2uLzuuIf9p+61VXTQACDs2vPPtLzfkz56qaiFD4AB9PH4ykbBEvIOikdjWQCNA7SVB6ORNWYbrU/RR242UTnoAFPAxXHiKx2DPa4J4quMlW2vWl5q+3F70KdKx29V90+1LzcK/f/Q9o0ZgX6iwTOLmn/SDUOkbXe5JL+gMG/Ws77f5jdPyVHbIzcqp+t0Xkfs/c7Y/L5Ted1Xirr6mfwmCn+n13Vk5RGl4+efdggHbCoGO9yuICstSCZxFT3DeU3MX3f5IVJmq4zPRN5uetI1GJLTt0jV4Qttz7N5LwEgp6ptkYa7uIylRWQ6TIL+uZJH0gurCEghoP9DFcvwmw2j0K9i/qGaq93pfKIK9yqbf9w+avV7JOYg0vYL1/manC1OeNIjlP+DvtP53TfL+jkY3sFgf77RY66Si4HvpVHoT61AVhot2RM23uo/dOLUw/8dqx8D4OMwjOI2CU8RKUcCN8feMkXUgiSUXfd6preNPzA+hsHEc6J8HOfgeMMg2y/l2S87fL7YHOBzZ0DFOl1M3nWM9x6hgSymHjRXI+gHgyRpi8zFWj7SRxONQ+608SCzvPXfW3wRGSsJJTcxJfc5Sm4Sym4Sym5iKm7iys7z5Kx2umfUUTmHvC4uUHMbNbHVgxBVf+IskDgpkPCUgGiEiZH8PyHZJz0qP5nT8OH6QITkIxzb1APnktw3u1xpZ/Dyaoe+3xWCqPkjGsGIWqCEitdBvytE3Yqbe+SMohAlT2JvdoGyg8OFZ60Ah8My5ik4EA6ixTSCEbUghBSIqAYipEBELUhceHg0AlH2/V4nIONJQ0k3Q/bYRUTRXVw9BFEPlVBxPxF1r5eNoQBHQ9PnKzkiaiFiI+eO5qt6aJlFt3AE8fldn2/0ECf5IuphYhphEhpB89T93l/nu0DDU0LFU1w9GNEIEyP5/UPTJSyzgj5V2Eg+jrcMUqs7Byq7Bis7B2q7BvvoY3174gCQX9u9en8gssxA/uhZYoMHAFCA4n78170RiKyDjGF0H4c3zB+F/hd0IfRnFdctfgX0312g5rFA2TEgs5Hw6dPHE+j5ZCByDkv2hNX0srvYYBz2QEza8jPtgJhs4T2jNipf2yEVWWmxzux0RecQb2Stf5WhCPqbPiHZfa7lnPioY9TqtzyHrLLc5pRGB6gd4G60S0FWHltlfPZh4yBRo5M3yv65OUBCwVF/zDavCPrL2ge/2uwroeTy1ZYATZvkDZanN1rEbbA8q2Z54ZudIeKKTou1fLKKXwBA5PXKf230mSdn7XC+dBgFAOjg8NZZnhVTdP73Vv8bxW2tbFQ/NAdZbSp55HxBD3ABmADVw/CkG2sTAHEvKCxzBPqLx0H/HDkh9LdR2euskhBJM5nDpyoHhQ2Wkle6eqeTjk38w+o2otz+STmfajh+uClsuWnmYi2fNXu86wdpU3Z5BoBfeiWy5ujijX6n7ghFzQOgYviRyGtzFBwRWdvAtGI6hpf04kt3+c6VtzsY/rgbAw7AAA5Pe6CSBn0CwAAah3k7vW4gUpbf7gxPLWwhWFX3MJRNE5BVlrucU5qorJAbdX9f575I2TK1rIcBwAaIyet/X8X+X2Og/311t3kKtg6xWTAGTYKvPP1Aw11izeH0omoYWesnrP7wG42ToP8BMWbkVr78UccPWWFpF5sNAOEZRe+ruUnI2p5+3CAAYAJ08KGgG16wYRAFHKCNxiKg39DnEqGZk63+hw2D0ofjkeWGx6PzJ96SeOdpJqu/tm0g5NIDLcfL4qq+E1djiJUHFffdbsmtFMZUb49Cv2huWdfecyH7WXblYEx2k6xBmFN6mfHpkvfX+oir+oyFfuJwJ6Lqh5ACP956atnRS7/uCXdPrdzret40LNPzau33eyPFVYQr7yPe30KQtSGIuv8Haq4eV1/mdGLSRhESyu6IeiiiHvLe2qCvd0Qu1Ytauj98iV7Ut7ujF20IESKjWsAiZbvE/DL3jGeIsrfYiC9+cTX/DzRcXdOqugUQnfX87xu8hBMIVb8P1vs6n39I1O1OedN3WzzFVH2Jvdn3le1jH5RnvaD9pn9KTMlNTCNYTCNokVboN7pRS/Wiftsf+atezL93x/5NM1hcIwTRCEdU/L/Q9knIKbtV1/OvLeFiJD8xjWBEPXguyTP46nMCPcPTCz7b4I2ojJw7UgtZqO55LDBzCIeyPspP29zmqHiIXF4j6iGIWhCiRqxxhYirByGy9vu9r7SQuTBpLXgWt7pwAOhg4rruaYik+TwlV4OAmxW99CE2r7yXu9vnxvtqbu8pORz0v0FFsSEeOh30I3KO7hcewNTQn7NAw1tCyU368Oln3TSKALvdQP5uqzciY69iEkvFoJONG4fnzVGwF5O13+aS0UwVsPhY3J3yrzb7ImvMTUJv9jAFXICNluGIpNnKUeh/8Ymq7ZTQv9UxlSwANgY2p24jq03mKjmZncxvpnMfvKDIGZ8UU3Sap+I2+YSPACAp78V8Rcf3VN0Ph2a10zmtdFYHjdVGZ3XT2ZZnssXk7BBpG/+0Z1yAJ23sVXphYtKWP+qGZZYPtrK53mnFn6x1RhTcvtrqf63oJRWHsBsN86SOfLbBJyCjlIfjAxjucCrnG5Kx9jHfp7UvgYD+jV7vSR9JLWkRTIJ+BuBkPm4dlz9fxmzxBm/3S8U0nqCeItgfkI0sPfijjl92aStR8tyKjt/2hSKKnuJrw/5Gcj0SmNHPnvr0OQPAL70CkTT5WCvQ9vzzsm7u40bq9ed9R8Nvf7bRQ1ze/stNXg9qOwBgAAMNk1AJWetf9oSX9jJ4AOV9w8r6nks3WVoGnMcAmin8HV43xBTsxeUdDgXd7eCgDD4WdOXJP9Z7IVKWzmfzyThudybvA5Lzhyq2l54PswA62AJd7+vzlOw/1/Y+dacRRqD/PSU719M3YQz0R1x79rGmN7LGNCavgsrlMzE8qaBnLPTDGOi3Pf2AUEUR9BMLPrfKOpfui0BWHtMPvddEw3gAZ+5VSu3xktpukXS7WABAWP3zlEehn4qDZ2qF2Bjof9I0LH/0DLLiiF7Q/dphPgf9A/Gv/3KaCfpLG9uVDPwWqtjP0QgS4g4pWORmAFEPm6PkbhV9r58tvMI23f4uB0WHWWwWH60Z4O1zu7RY2eTbzc5OaRWBt9u/3RWFKHqJa4zz5COuETRPzXvRhhBxtUAJtcD313pvcUl93osFpz+VNoo6XcqyvVS+aK03QgoQ3r1SJyIRhiJqvl9qeyaVDZ44X/bheh8xVWIlJOCb7WGBl5+201gdNFYrjRVxu+ZjDTdxkj+iHoaQ/N9Xtg+/U2mRVIoo+SJCOz1EguT75WbPtLKhXhyO+KctILkjpGDi3NE3O4KSC9qIMT6zqHaxuoOYqi+iHiZG8luk4nChsM4xrURM2QNR80fUg8VIvl9uC464Xt9KZXXTWI00tl9W82JtfzGSH6Ieiqj4Ldb0iMoqvFLevlDdDyEFIupBiFrQfBX3c/eEe4ZPm4ZkjGMRJW/hVoFq4N/Xe8VklbMBellsPbfkBapu4mqB4mtHJ2TCWQUpUELZ7Qcdr8uP6qdsX3zSp8ktSAzgZ++UfL7BFZFzXajh+2+dgN/2hX+9I+hv6t5iii6fr3W8XNglAOjjCH34TGn1e0xj9Vudyl241kdC1XO+qofk4fh9gTlL9OPnKDh8ouHml1qCA3QzscNheXMV7OeSPN9Xd1c1v7DH794Pu8LF5Bw+IDmnPqrFAbjCBR/z1YdiRVb/pyS7L7Sczz8cD/2rLbc6phLeBDIeV327yR2RdVyk6fftzqB/bfT+RNNr3lr/Oapu+pPO9Q+wuCbB18Vk7b/aGngxr04kK0INLhfUfrMtAJG03eGS1jhE5+Jw0PPCXDkbcWXPf2wK/G6n/ydr3T7c4IeoeH+11T+j8CUGUNjc/es2N0TW9tud4Rbxhcdii77a7I8s1dMyjaztGAaA0MzSz7S83pM+klo8DvqJBR+qAMUBcuo6v9J0EFdw/GxLkJZTurJ12sK1XshqU13XtJZhoRU6xMU1LRMQWVdELehvqi4J9+onAb/QSiNu886RMZ+n7v/hxpAvtwT8a5Pv4k2+89W9EEXn+fIWjmcfDvEwAOACBKTkf6LhIqHkonLivMul6s3u1+fLmi2SM3WIvg4AzWTeDs8bYvJ2c0ieH6z1XGt3aafvna91QsTkHP6h5X27vAUHCL1atljTbZ6CPcnm6qmHA8fjHn+0zlNM0XnxRp/gzHIAyK1uW6juNl/RzkUI/UL1jMuuWLzRD1FwXmYQt940sqi1O7WM+vVmbwL6WSLoVzVfpD4t9Pfx8L2e6chq04VqXjt9b3ul1yw/FCsmefwzReOciq6prX4Az9RKZJXxkj1h10o6AaCsg6FqloBIWX6hEy5jGHYhp471SmvqnaGZoJ+HYqlP6r7b5osoe4hphCFqwYu3n/p0U4gYyVdMIwRRD5dQ9rCJLxi7vzEWO7gAg2weCtA0SHUIT7WOuBab27nH+/o3m1ytLj0Pyun9Te+UhKIrscQx6rlTI1hC2eP3A1GeN7v+qROOyDv8tDPwWnk/C8XDLz/5QPaorl/2Hp9rCxTM5yo5z1Fxm6viNkfFbY6Km4SK2xxF+2+0HdIr21QtzknI2c5RcpFQcp2rYK9ldWZ4zHLHzWd1f1c0navoIKHiPkfRaZGiuUV8wQ7fu4icnbiyu4SKh4SKxxxF+++1HQq7hwYBNhwLfE/eQkLZdY6y6xxZC1mDsGedwttRqfkVi5WOC1kpOX5CsrY+80Tb5SoiaztH2XWOsss8eZu93lc76EIcQQFSn3R+tcF+jqKthIqbuKLTpyrWrufunM5/8TdlRwkl1zkqbmIKTovXuaY/qiJeYWCg63JBTM5WQln463dbPe9X9goAeAAPawY1Lc7NVXCQUPUWIwUgaoFiaoESJD8JJbdF6u6r9cMuP6kRYFOb97OBfuJJPwc7FpK1UMkOkXNEpO0ROSdE1gGRc/hUw8k87Fofmw8A/SzeLtdkseX6q3RdmulCTMwqqvpE/hiy8qjnudsA0EzGtC3jkR+3b7FNbOxngtDq95pPcpe1SPtkveccBRtE1ma+vLWWRfwLMgYAXUzscNh9CWmLb3afWn446W/K9hLyduKydvPlLA/6Z7VRuADAB9ho4ocsPbByX2DzIBUDiM6q/EjuyOekExfzmgjDpKFnaJ1JBPKr/hbrMxQeAAAVxezjcj9QtReTs0dkbD9WdzQ5W/mLUTIiZ2/gd6Vn/IJPbffgim32yO9GkgeCGnqJe7C46MpifQ9tnVkc8tvhb9Za3y6tB4CC+gEFw8i5CvaItN1cBftVhvEHo5/P1/D7crPvtaKXKABVgPtfKvxQ1VZCzmaBkt17ig5z5Ky/13ZJzCkjAg2EXXmyWM167vI9lwubiNM7/Ty+op4HsuqI/KFgmgAlZG536s4HqnaInJ24ogMi7yAmY71M1/fqk9qx9zPMo+/MI3kjKj7/0PIq7RiCia0shH4WgF9KidjygxLyDoisEyJtR9w0fk/V5VMNpwOeqQ39Qvc1GEALVbDeIv49Rdu5clYLlR3nydu/J2u+1iyuul8AAE1k7i7P64i05Q96p5cZXZivaCsuby8ma79Q0co8JrePiQFAdS+qaBQ+R8psnoLNhypW/1znuNoodpGq3QLFE5aRmQBwv6J5oZzZ3DWHnWOuwBjov1/Ts0o/HJG0mCNrs2ClfnZV0+Xy4a80bRZKGkRkVhBt87i5/yMZ/fflzWxjsgk55JQ3fKdlh/ykZ3tS6JAmo6Bu+d5AMWmr+Qq276vaSsjbfKRmbxl1o5fFB4A2KuOf6lYSkqYH3c8Rm5kMHLwvFiK/7PxFx+P605cAMMDFjfwzkNVHxOVtkeUHHeNzKf89K/7TQj+hHDyA0Mzy90muiKovIutudLbmQFi+uKITsVoioer7i27Q7ZqOsZrEx/EhBqt3mPq4ttU0+Orlks57L3p0XC5LSJp+vdld0+pMVH6LT/aLb3VjEKUxwQ4JT5kaIYiKz2JNz5gbZc1sdH9wzieq1hbhGTyA1kGyVUCSvJ6vkmGoilGIolGonFGkvGGUvGGUnJHwT94wVPtElPfFAm2reBmDEHnDKFmDUNKR8MR71fwxlcqvbFDZ7yZvECpnFCVnGKF0KMgo4Oomuws/7fBfui9s6b7QpftCf9P13XAssH6I0o/BQceT8voBRBYy+/2O+CQMY0JWN5/Uq+l7yRuGyRlFyRlFKBmFbjSP1zCJkTUMlzOKkjsUpnTQN6emR7QMyAe4W9657kignGEwkbuyQYBL3K3I65XSBwLljCLljKIkDwTvsE8oHjkXCAAep2/I6AfJGkbKG0dJG4RvMo9qp7BhpG+Xt/WSjIO+2Ow3n+Qlpuo1h+S5WMvv970BRwPTn7cJXS39EVuEyKWdhrqfzZHW8/5pu+d3W31+0PGWPeDnd/FBH0u4ZUhm8+zCL6/ccmKXVUAnQ+ht/WF5ndJeuxVbreOv3scBuqiCE/4Xl2gaWwSltA8zgDjXT3L7mGSd+aLP9OSNJdtdf97qsss+rqKDSQiti4EdDstFVhxWNk85W8w85Hf5R23bX7Y6HQtMre+jwQhuHfeKXqZ9XNcmsotMxwHS7lcq7LFV13e+9fQFcbO6dYBs4hn/y4bjFoEXRUELyBhEZj5VM/ZXPuR/MvN5cS9ImZxHpG3MI28PsERboTgOUNTQo6BrsXSLlVlA4oQLLITt73Xm1q/alis3mV7JE4Z6Lm6hGPsmy+733O96IecFK/hm83sk96+3+N+v6iU49LOxwEuP1+z1+GGL2/ebXJQNAy7cq2aONFXynWLVg+6rNx/LKW8lcqLyBQftQ1Zus9J3OskauUbTSeM4xd3+fZf791s8vt/sstYkPLPoBW+8c91zeS+/1AkVk7Nfa5XcQplyZw4AgANw7mbJis1ma/a4rdzrtWKP56p9nmtNww29kxLv1PQxx/mzQwEqOtkH3ROX6rh+t8nlVx23/S7nipuHCehrGubu9MpCVhhru2QlFDN3OSd+r23/q46L7cnrItUVAFwvbFAzDvpe2/G3rY7HAtMKO8l6LqeWb7Uy8YrFAZ41tMnudpTcbh2deks0kuEADBz8LuYs2+H6wyaXNTts8hva71X3rTPykN1hcSmngrhXV9ExqLDh5bPpAAAgAElEQVTLXHaPQ/ile0SBn9Y1bzzi9aPmsfDkmwQfAQ6ZhQ2appE/bnb6frPz77vcHWJvdY743+5hsEgGbqt22LqdTCEesXA4c61w2QbjLSeC8itfEkyyS+rUDwd/t8n5p42WoZfyaWNixOETrKt3bELwas+dnXTcOOS2hJw1ssZmf2TBuRLqisNnEQVPsbVhEupB81Rc5Q+fulPVSR3pTiwM8kur49LueJ+5tfZIyNKtjlL7faUNoxQsUixTG+OfDewOfvDxOndxVU+x8dd3xTVCEBWvRWrOJhE3yQKUAeCf1bRit8fzDqoAgMwRNPSyqvuwil60og+t7Mcq+7GqPqyqDyM+V/ZjVf1YdS+/cRitHhh9UjuA9bJGjwdgAGSuoLaXLXqxZgB73s27X0/NriZn11CIvztVgwV1fcM8AROgaYBTJcqxF305zOOMIM4wB63p4VWJCjCAFbWySzq5VQPC4tX18cg8QmsxABAADHDwun5BtajAfYLGQW4LHa/sxUSVahjEqSPIgwO0DfMreoUFqOjD6vsFHGz0Vxygnc6NzKo64HNlk/15XY9LnsnFz7oYLBwX6eEf1zoUgAXQK8CedfOyqyiPmtldXIw9Rp/5AHQMo6AYFcM4I32bjeMUDBtGMSYujKlCxzAKitIwjNi6tIjJWaTq8qny8afdA1SA6gH0eRePjOICELLuZGCHw+6LrTRSPHamoBOl4nhFN7uyn00fWWzBRrIeRlEqhvEBBABMHCdKQghBMJL1MIrSMUwAwEKhuZ9a3jlQNUDv5AvIgHMBKvqwFQbxiLSNW8IjCg8dW3c2jpNRdAjF6Dg+4vxx1HcJBsDE8SEUI6MoE8O76NzqroHKXnI9jdsPOB2ADOCV+myesst3OoHPhb41hdewW5no/XrW45esTjbGG+FIMBzGMCqKsnGc8ArFA6Bh2DCKUTFMMKJRxHWkRgrvXg2tpJPVj2KTT+9E3qr7TNt/joy5y4VS8kT3DaMkAGDg+DCKDqJYP/GHYcMYxsDxyZsDOIAAgIbhlT2CnDpaeS9KxnHBSPlfDHN3eV1Dlh/SskutJMMwjj/rZFcPcBjj4wrwADo4WEEzo25IQMGBA0DD8UEUpaKYAICD42QMI6MYE8f5I5yJfFkANf28vHp6M4XPwIGB4xQMo6IYE8eJGRIXgIpiwyhGHwkGxsVxKoYNoShzjE9sHkAfHy9qY+fW0+spfNqYAYYLMIxhwyjGwDBR7A0mjlNQlIJh7BG2fIAOBp7fSC/rYpMF+FhHDv8t0D/1bWOitFXtQ7pulxaqOi5SdnC+XGR46uE8kiei6iO+NkRCPWiuise3OsHOF8oet/Q2D9G76JwBjuAlGcur7k993BaRVRN4te50QXfc0y7d0MLFW0PEVD3ESH5iGkHjcT8YUfL+UMPD0D+1k8UFADIOx07eVz0cyBrpZ9hINE7icoBgzFfRHzbpOTbevxCGC7+ik7iN/Rv7Kz6JIT6m6+NTFWNsyrG5T64IOlVJJjhEwiYVbCxDdEQFOQBsAA4Ad4TJxCNWQiN16hCMU7T+pMgb2HjhT6iaiC02XvuxMT1K9ATGQ39xZ/+EJiOIgH5kpbHi0fiidq6oDOPadHzuY3PExj8XZT3EhWP+qYtVzKSMYpMeNzJwIONw9n7TVzphiLR1RGbF2ECWY03O6fbxxv50vbht1W6vH3W89/vfrBnisAAaqNydHlfE5B1/2RXQMnJCVlRmkTzxSQzHihEdr3hjk6ETOOCA48DiCygcQQeZuckpWUzO8WMVy6znnYKxeY//LJIbNknIo0lwnIh8KSoGOkYZMGFaeDHM2+V1DVluuMEmuWZ4tJBCMY6JRYNN6i8TKo6N14cJL2LjE0zuOPhUTyYIGZ2qv2Dju/BkmU1OOYH5O06vgv6Rzt9Gx32Sn6gZBWgdjwq8Vr3FOXWOgj1C8icuvkqo+s1Xcv56s4e2beLhwCzH0/lBGZWR2c1+mQ3WCaXbPa4v3Re2SMX+PRVXMTU/RD0YGbMniWiEiqkHIgrOX2h728bldnEFANDNRM/m1P681eVIQOpUq2fTSfh1JP8KX9NvxPNNy/KanCdEmMPGxwWZuTzY7KF/Ohaj5ZiezeTjQ5MD42EA5jG576u6fKJsVtzZP2VWnQzMOCwPWXlY4Wj803bOxGK8dk2EqQUAHgl3xFYeRmRtpY3iPFJK3dOqVx48OVfe7lN1x7uVPbPkOmW0v6oejox+ELLm+N9UnQ4F3wu6Vm8QmveJhqOEjNUW+wT6LMo/dVDZmeo6ApVjEhXVtPgm3t/ikPzJeh9Ezk7FOKKxnyzKYFSLZuA77iccAJuxzQnCAODFMHen13VkhfEGm5S6oZnTT8tk+rLNotUnJ8Fm7vKvQ2/af94pmlWoFtGwQOVDUx+bjMLTpv615ucQeWeE5CeuESyuHiyhHjRHzVdc1VNC2U1CyVVM0UVc2U1cyU1M2UNc1WsOyXcOyV9CLVDkfpIIyC6uEYKo+iFyTj/vDou5/pyYDz5t7j7kf22BjPGSbc63ytpH5tcimmD3iPrJDDbZbGkqVhgANtZOmel14m+8hk2CwBm5zE6rZhkjc0pmr35z2v422agaMWDxWZVqAlDiACbhNySkzBesMXja3jsuKSaEmE46auB/E/lRV1I/rKiVOfbd6Ys6Rb4j/6MiAHhc06JkHIXI2CLSdoiUNSJlg0hZL1S2NQ6+3jONx+bpMxhTcAA+gMe5O59qOCEy9oiULSJljUjaImvMf9P1u/K0ZcrrVK+X1yxwDwAu55V9s94WWXkCkXFcqOIQmVnC4I/T6pk4vCp2+cz0Yoi91ekS8v1O9eOnawdf3SvH5TVdBUXjFI69KnbZVGxfRdg0I8N0TKaLf/xH5PZX0hvF5gUAgMcvBjWtEsTlrBElL3GNEGG8lLXhiEYYoh6KqBHndsKIY5diGmFi6mFi6mFCN8IaYYhGqJhaICLn8CHJWe346czSXjYAG4fU3OfqB91/1rJaezT8VFYha8wsckz+swTh16kUPjmLiZ/fINdxjF5pZM0mj9ehScymjMn6xmWYoY+OSOxV3SDmauGG41FbTAMbBsb7v8KFED3EFoSlPVHR9zwRlN7Qyxr7+6RP0xd0dEQXlg0nwiaXde5ySZI0iFq6N3TZ/jCFIzEWUdfrBtgz387BRUEupyoDMUJ2M8E35SHpeOzyAxFL9gSv1o/Utjp7IbeK8RbMk9lCf2Fd5xaruJ90fCUPRljHZBMRCPDRJLPpR29IPTSuZ8J9pQOeDtE3OqiveerlVWqF45OtkFexnMUVFlG2kxLPuj/8d2C+kN4E+mFEfUtbB/f7ZHys6YnIuiCq/mJrg8WEzh5CRmJFhRN3UIU3jIR/wYiqHyLrIqbgvFI/yu3c3RcDfByAD3C7qP6gU7RjTNrVR9Wtwzx4EwgnXniFUfN/kl49K3pLSDDTvpHw88gsisKFXgbaR+dzsVF4HvkPAwABDhQudNP4gyxssufRNyRc9A9QBVDRRr33vOVBVUdjP5c/UoFZMZnS6BvzSzuFV1Dfc+dZ87PmwUHOaIIZSvUWic7Dnr3ovV3cVN5CnrRSRtCf1U34OAxzoIfGH2JjPBxwmH4O8WeNPq9FM3eN/00weUPoh5H26uZAxLUSFZPYj0iOiJQlouCMkPzE1IPF1oYhGuGIRgTxJ6YRhpACEEVPRMYBkbRcrOmmanrG4uTNh/VkUTxSAY7fffSsoZcpOrnxhsXC4R1RqHeMXi2TtyS1qdlMfjQNck77+1tr0bdSz1cxmWaZ4HVf+FPpz+omM7XixKTTrJv8dfTK2c//Jpj8IegXyaOigxySlrff+8pqw7gP13kjss6IpAMi5YRIOyNSzsgaZ0TS6T2S14+6J0knkg4FZERdK6juEa7bTrkL/9+1V/5u0msJ8D+j3VPMrGdcgJ704e2UYnLvf3viwF6f7Vtsiz9xTWc2ueMTvk5ZkP+sTf3aa0f/M/R60D+lGomeDOGQVzd4MqvYPfGeZUy2YeCN/d5XDQNvmEdlO8Rnh6Y/ufq0tbybT/2jZX49ff7fHLJnSZMrP82s6I2khMMrNg+mbqkpF1Vx/DWa9U9v0NcUx5RpJ2wJ4Dj+LujiX7EJOaGar7Dr/yqhTDHCAy569J9ul7+e3gL0wzRDJxtgmAuTnVr84aZ+vYH6Hehu/yGaEkuFT96KqfXKc6KvgP5xD/+79sjG00zQP9U492p2f5ow/jLoH63+f35JBwCmg/7Jn/6v0GygH59abJPn629KY/lOr/YTUk1M93+5FaemmeQwS3SZGbunYTK1skzD8HXt6z926HDK0szml1dVdeZM3lqx3tarM9hwrzH5mpHhjFcT3h17bDY1fp3STpt2diD3+hm+Mc0S+rHJK/CvnsZNqsJ0/XZ2Uplk6f9/6J+Z3oIcpp5gvUIzXwH94xm+G9A/iec0V6GnYDDTBHTkGOJfR5N73HTJsGma521B/8QEOC5a1BuR23+AJpVzLLhNR68zRZ5WEGOZvGrR4j8F/VOpy5vpw+vSa1pPE9rwXZhUvnM0ueFetx1flfi19WIGc/NPJlxksIzLbswXkT0z2/JMrXXjOM48MPx5NF2fFT58Zd6iUXb6O01/ZIAYXV7/6/vtuA2YV4PblNCPT2eHTNq1Gs1izMg3c/neFat/lP5kZX1NQ2Cs7fj/cX9qmmyWvu0DFW9HTf+qYx7C2/xTnrvB/4CLi/H0l3TdWRRiSuvyP1W4qSZ84/5/Z2k66J9BacfZ+EKPf69hULx70A/jQfbVnkZeXYexI+Q7rwP/fTSuv020R6ZpnWkmxX+BifqX0XR5TaXPr1L42Wb4Cqn/GfTmWc68sDa7y7GT3f28zcW616UZ5i6jADRtYIvJOjBzp8DHVHYW0p/FHPGt05uf65+OXh/6/0RY+T8/G5hRvDNB/8RO+xpZztDH3o3m+JOKMdPCiGhmgePT+Yr5E+k/YOgTHj7fieZ+Jb2peF5hKMz8cEKCv15Wbwf6XyG78SbPn0OzMl//P81E7wYu/zX0x08cvl3lGrP6DP9TlxpfJaa/uJJ/gv3xOoowY9q/WBQzRemabDGKvk6owuyhf0oSafrrNgo+4ix7guduwXhf2/8r3eiP0nTzz7FixEcmq6/FdrQFxz9/Z8U+tsqToyyI3EJO1hxsjF6NY4iPymHKQBH4VCsFU8r5j6vrq16f7baKCATGRhSYTfHGVXxG/rN1wvlWCRtTtT9I0/Um0U/jJPbuQz8OIAAY4mJNNMEABxOpLA+gn4O1UQVDvCmCAc2WxtcfBRjkY21MQT8L5c7kAH6ibPCRuEI1A4LHLzktFB4Lx1kAXRy04CWjtJvbz8d6WGgbAx3i4zP7YvzfonHYMtYZLQ5AxfBOOspGR5+gAAwM7+LwGqncPh6fObE/COU+g9IKAAb5WCcTZeLj+jwHhx42OsTGpnxxhOFfd49/5KglBoDTBVgLjd9I49XTeI10fiMDbaDzG2i8BhrvJZ1Pw3AKBxtkohwcJmgOD2CQi/YxBHwRUxwHABSAxsfbGWgjjd9A472g8To5/AG+gDWmJfg4DDMF/UwBd2ydcWJ3efQbHcU7mSh9+nBaM1RR1Fii8CNTphjTmjPtbGMAHIBONr+ghXm3hlbZxxkWoILxrKb6AgIAGh/rpfFZfGyG1kUB+jlYDxvl/emwN9opcAAuhvczBMMcVOStb0pZzUwYBgNMtIeDcoT8hXUghNbLRAfYKJmH9dD5bGwC83Gjp8iSQPHZhN14azSt1U9m8bzPZH+petTp5FXRQzqAbWjq98r7g5JyKfzpXp2R8ClQ5GRGvvRue1Ov+D4ac5rXpsaeAS7mHJ31m7bV0k02O4/71nX1XituUznk9+MGC+k9LvE3nx20DZXbfuJ05sP/nmjJf5ymsMwI4bFw8DxzXd8ptn2AQjzHABoHWHZhyep6DvK7bTSN3aIu55L5Y2LYzwL62Rgek1mguM8xNOUuc0yyDgrL0P20beC56Ur5F0P/mPkJPC6r22zsLrPDQmaPw2pd1+U7XSV1neX22Mnsstxs4l3XOxiecOWIQ2APjTGBBQuFiAs3jG18hsf49CeqfONhmYaB+wode5k9znK6tgq7bdYbuvqdvdU0yCLGj2EGyzUg2s47bGK8Q2zchLegvlvTyO16/tM3qiCOA7BR9G5BeXnjS5jUapOgf+qWJRSol4lGXMrTOOiyWsdWcqeD9C4bPYeovMoe7uR+PInLnSfPdhrbPnpWOUNx+QCO4ZeOeJ4eYEwbMfgtkbDpiXG6pbvv4AmXU6m3cAAUw+48Lq1o7ZslRIgmajw+uEUkbTELrGwfhPHyrOpibTnmfSo1J/VWga6x/cuBCVo0cRrQOUS/X1jd1jPwx+s5e5o2StcAk28afA35fu9B7xTRQwrAPucE5Fst6+icoT9k9o/Lyy3x/sdKpltPhLeT6cIUMx4oFtGN0pe/bvf8VNFkv0vCmasPuznczfZnkTWmSsbhzrE3HtQO6Vn7r9Y+HHfl/oxW/ytmse/O/uRkmmXBUIA+Ds/vcsFXGxzlDEKb+oWOlPqZnD2OcYr6Xuezy/KqejzP3pbabhGQeIM/Evl2qpF6IjEx8E5+skj28M9bne830EWibh5irzM9udc28k0rNxO9WYuI6tLWO5x8qzA+/UHCzee7XC4tVrc5Hpp1/lbx6Yy8lDvPOhgcu6BzGw2d2qn0CRy4GFzLexZ1Lo3B5o1lCwBJtwt/VD9i4HvlzO2auIzHwQm3jvtdWK7jtPZwcE0XDQegcbkXM26dS702c9e5U9nz00brpOyHb1ZBAMgprtLSd8x48BRG225mcU28vwYAnXS+iV/yD+tMzQKSbxY1FdT1Jt4u3WAS8vtWu7QHdZxp4pSI/iute+EXlVD9onWGjLkA+m4JWmZRPfQ/Dv2z1QccoHeYGhp/8cajEgCofNmtsc82+cHz184Ph5iMR/9SNUu8PXGQDkot/EXL+kFVW0lVk39UYi91usg/OHGxLvRi5hYjt4aO/mmS/Sk0A/QLjkfcRX4zORh4TfSQDLDf6xKyZLd1/OMBHgAADkATYN10dhuF2cficcf0LhRgmCPooDLbKIweBocmwMcugNJRvJPG6qQyyQJwTnn+6TrnbdbxbZSJVj+BymQe2kljdVCYvUwua2Sph8MTBGYUL9JwXWmUkFnd183iV5B5ywyiETmnoDsd9TTOIAZV/bTCjuGXDC5/ZBZMFWCddHYbhdnN4LDwUdQXAAzz0HYqs4PGGuQK+LNXpXeAMAAGHx2gsygc3pTGS0P74GG36N93On2zzV/V7NyLARrxvLi2U2qnfeydOmKdp4OFHvNPXXs4sJ1FVH9WPtUYGHilPl+s6fxvbc9tNnG9XAGRvonMW2+VsN8pHkbanSHAO4apbYNkMldAQ4HM4fEwDAUgszg0nkC0lMzk8cksDhsHCodPYXFEk3EUgMEXUJgsHorhAFyAAQa7fYDcRaYxUeG7fByoHB5dgNMFeCeF3jZEGWTzRRzwkSwEAFwcODhgAMGZz77d6nu1uBEnHgJQAKxDkrVNg+op7B4as22QMsDiEnHkeQC9bF43jckfe+gTAACS7hX/rGmW+KBUAMDGgYXhgzzBxcLuJZsdzfwvDvEFHMAHGKxeOpMNwEJRCofHxGGYw28fonSR6QxUyOdO9cAv273O55ayuPy2QUo3hc5E8SkXxFEAKk/QMURtHST3MthE7+PwBGduFa3Z4RSd9YjO5rExnMzi0jHoY3G7KQwmb8qFpIkTLwEOYWkPviUdC854ROMLCAGyAWoonI3mkbK6jhVdgxgAR4CSmWwOJtQTPoZRWRwGl8cFIPP43RQ6jS/gAlA4PIYAY2DQTaF3DFGHWFxi8OMAHPS+tNHuwgsKt5/KaBuiDLF4otjUhLQHGOz2QXLnMJU2snaEAVA5XBofo6PQS2V2DFEGmBzeNJNHHIAuwDvItNYBch+dxQZAAVgo1k1l9HG4dBS/9ezlb1tsg64VDDK5ZBaHzOLwAMdG4IItQMkMFn+aheiyTqbcoRAT34vUMStWLAzfZB6+zf5iO53L5PG7KHQ6JgxYzwPoo7PaB8ndZDodxQnYYXF4ZqFJ0rruuZXtbB6fg2JUDo8BMMjitQ2Su6lM0Toq8e8wh9cxTGsdGO6lMhioUPJsAUrm8hkYDLF57UOUHjqbQ6zEMjltg+QeGpM9ST7TLvgIoX+Zyf7A62wcOBgwMejCYLdnKrJkr9UI9LfSWW6J+bKGEUt1A7bYn8941k1HcQyAj2FPm/sO+mT8ttt/yS5/lWOxrolFTUNsoqBdDI7XxYJVeoGr9gdYnineG1b09/UeW23iWymMCea3AOB559DxyDu/7w38Qcd7nfm5+DuVg2wuChCd9eRrbbd56t4fbwpfYZxgEPFQ0y5l0TofcZL/L/qndb0zaobprvE3dtgnJuW/5AGgAFW9VNvT96UMwr/f5q16LDb2ZsUgh0tsNJW0MQ6HZP+222+lXpBR4LXCln7+yIGrMQbmX7k68WoSgTIbIPVBo8o+R6/TmWwYtzxNpLmQcfughfeN0haj8Hvqx8809gkXfJq7hpJvFrRTUWJUpgE4n7qlqOddPzwxiynzJYiBgVtS8S+6AR6Xq37TtvQ7f5cwcpqGuZqWCXrO8USyFgrH41wuyShI81iY4+lcr+SnDqduNfeRuQAnfM+duVVOBGpgo9jFrEeWfnHdKJzPqTb1iGvupRNC5+IQk5nvFHK+n8xg89FL+TUHXBPXHQneZB4deOlJB4WNAVBQ1PdMVlBqYdCVMl3ns8oGvgbeqU9bCA7YlHOFsGvF3231uvGsgfiKAdABrMIuKR0J985s3OeeQjIM2O+WlFs1iAIwMIi7WWEfmjzEHB1khdB/t/jndceSHpSInmAAZIDDXokrt1hWU1n9AjTkXJZPfDoHoLS1yzo4Je5OvV1czgbTcJKhv/+lJ/0cHgDcqer/ZVeAzdl89/MPNI4EbzAJC0p52MXgTdA8DKBxgO586tb6oyHqR8J2u5xPyiljc3lPGns3WsT/a52NjEFoYk5dYz/fOjg1OKvqgF+mmmFAdmHdCPbPpMw1fRySSfQu21M9DBTGD5lZRS9+22QTcrWKgkN+acMx15jaXmFcs5aBYYegs+eu5uIA9yvqzTzjnta3sACCLt73Scg9fbtW1/6MmlGgnkvCo8YeAYZzAfR9LquYJ3mlVe13PU8yCjL0uFjUMEgMDCwMv/q0aZ9zoubR0LVHQ5zic+v7mESJQ5Oue5zNicyqOuB2Uc0wYKf96ZzaXu74xiXK3EZm+1x4tP54JMkwYId1bMrDGpYAax2g2QQkXsh7WjokMPBK/QfJXMYoOuTK8+j0hyYesfV9ZOJdJoolZT2y8YsbGs8aH/mXB2AXfUVup11RY4dIoHkVrau328TdfUEDuF1UbeIR20RmYQAMFE9/0qLreHb9sdAtFtF+SQ+7mGwAuPLkxc863l9ucNQ4djK/tv1pXZt9REbMnRc2p+6pGwdqmkZG36gY5mE4AB/wkuZes+D0TRYxasaBW8xPBqc+7uPwAeBRZZNNdHb4jXrLqNsaR0M3W8VnVbQ+ejlsFZFFMvJbbxp+paiDOX7b5VXQv8ZS2uRCRFZ15NXi8Mwy38x6qcPxYisMreKf9AmAzhMc8rr4iYrFsr3+pONx/97k+pO2XWpeDQrQPkzZYeqzWOHY6oMRKmanv9rqN1/K1DHuBg5A56E2JzPflzL+apOHqknUmgPBi7V8Fqg4b7dPaKUw8DGSxQCetw3IGwR9pGzx8w7vFQeCv9RyW6xw1PH0DRoPDbt07x9q1vPUfD5a7/fDTv9dnpcVj8Ys1PCUUPP991Y/LatT5X3kLeah/1S38E0rEQA0DjC0reI+Vj6xdLe/1KGIz9fa/V1yX0DCNT4O5a2D646Ff6BkKWUUpXg08vN1ttL7fctb+yfhxDsH/QQxAaIziz9ducXYLYY9HpcJ46WXwhpm83gAxyOuq5nGEtCPj5zcEIy8UvyyT/WAxyH3eMLQgNlBPx0DlwtPV+zzLRlgHA9KWb7NLqd6EAAah3malokE9FN5qFVYxu9bLX2Sn6QV9Rj6Xfp6g53sobCqriEmDkp7XR1P5xOB/OgC1CM6XWWvdR/Azcqm1dom8dfyiezqehnrTMJtQlNxgITsp6t0XUxCMjNKBiKuVynsd7UJSenl8MgAu20jft9qv90xMfZug3dayZLtXtssIhiCaRsu/OrT77d63iypJ76iAAwAq7DUf6+3VDwSHZxZHn27QdEwYp2xfx9DQMbB9tR9zUMePbRJCz73Sn7VPJb8oBjGQD8XIOF6ybLNNhkV1DYW/7Dzyb3WgSyABw2tv2mZye33sorOvpDfesg/8wsN85greQBwp3pwhV7Y15qW5hHXEx+0WkXf+lnrROzNiglOcIfYAuuoG1J7PU/de5Fc1K/vkayyyyqnqKyLjdvE5f241fVw2O3STn5NL0/dOOhrbTddz3RjrwvFDd0jgsBm0Ofrz1u+WO/smZA9UpfRNh/igqK+/06PjHaW4EpOqdQ2y8I2YXilqs4+rUOuzlHJAJCSVyS37cTNokoawNHAq18qGu53SYi5UR12tXz1Hq+NZtEv+6k4gL5v+j80XdaaREdeKz95s17pgLfWUZ9uLghw/HpB5e9brfW9L6U97Q2/Vim7z22PdfiLPioAmPif/UrVWMc2NiKzPOp6tYx+oIK+b3P/RH/w/Uy2ecCFVdvt/NKepTzu2u90bvlmy6sF1S1DDI39ju4XMttwCLpS9q2WvUHo3fuNrOznnau325y6VcPBAQDaacztpt5W/meZk/qU6N/s4tpVW8xPXssnLEgegGNUqvoBl8qeIR7AucyHkltPlA/QWTiedr9ypY7ticib6c8GgtJLZfZ7WqMrwh8AACAASURBVARdZPMElX28jXZJv2738kh61kzlZzwql9ntunKPr8uFR2dzm3U90n7QPHGzqBEDaO4fXrfPWsc8IvZ2w+WS/mNhN37e4hyTWQgA1wprf9bxWr3X3/7UndO5rWrHo1fv9thoFuV5IT/uXqPS0Sjp/d6NfcNjhTPTgo9ZxB1Ewek9Nd+P1Jw/VbP9RN3hAw33Beoec2XMLU8/7cXh6pO67ze5fr/Dr7CLwwSIzm39jGS27ojfAAptFLpLSLx77NUXTOji4TbnnyFLjHe7pzFxuF3Z9dueoI/lTWLuVLMAKruZsofjxGWsdziebx2/4DPI4dtE3Zwvc1zp6Kln7VQKQGx2/b/ULL/Z7JX2uBEA/K+ULlB1VTVNePiSTAG8oh+WH4xF5GwTH/UMoHgnh6dlGvKPtbY+VyroOH72dq34mmNShyKftVOoAJFXS1ZqGTuEp3QIwPPCnXm/79vpea2RBQyAg0E3FsqZeSfcp/LfIaCfgfgApY09oecybj0um7D7PhamMYDjYddE0A/jlbiqm7LN4bycnuej6raZD/BN+ImOgevFpyt03TrYaHU/TXK/7xbzqCE29wUNXWd1Qc8lHgDuVbSu3uMTeOk+0UP62Phm69O/7w2s6CIzABT13B3OPB6F/lNXlfbZ9gE0kem6J0L2O0QwMACAtNwyyX2BV4qb+7n8zSaB+r5XO/jABWADnL9bIaVjk13TOQiwyyp0zQ7b8n4mD2AIB8/k51I7HStahqarztTQH5z8k+aJm9XDbAA2wMWC9tXbrB5VtQwB2MQ91DT06aGNSBqfFvoJwzDjYf3vW+zOPe5tYXKNXWP22oQwAPLqW34kGZsGnGcCoACVg3zVo9FHPRP4AHfrhn/T9Tvil9bL4OEAFIB1JsGGAVf72ePatmWIoWVxeott7IthOgOgncpMzLhXWFkLAOmPKuX2uF7IKwGAxn62smGA6vHTtQMsfKqTlFOO7ikPKj/XdIq4+mSyuAQAakeC1S0SmuncK/fLJLfbPGkTzoCqOvu0jDycT17CAZLziuW2W90sqqIAGPlf+V3b4n5VMyFen5SCHzc5F9S1AICeT/o32q4PG8kCAA7A+dvlq7Y7PurAmsj0PVYhOlbh3TwgdsWvFlQs32ASlnYXBzD1P/utiuGdyhfEcZqo7PqftGweVXdOqFdOdcsyLdPwSznEKF3dMWDgFHXmWm7TEFtNz8U58Tof4FFDr+QOx/jcMgEAHWCTRdQOx/MDHB4OkF3Vs0bH4m5xveik+AT+ADDIRHfbRO5ySe5koADQxsHUDnm6RF0h8wQ8gLPXHkvqWJRT2Y10htZhH0PPhAEAJgALID63Qnan3c3CGgBwis9Q1fMuax8GgLS8sp81TT0uFgzjwAeooWFSuvauJ9PJAryorsvGJ6qpn060Ql7TwCr9SNPASwCQ+bTx7xp2llHZxHr4yauP/il/yCe5gAbAA4jNafppk11hwzj5vAr6Ja2XGJw1j823jMk1P5V7JPbhEv0Y8dWHLc4U9wC4nbn+Ccl+zdHEmOzqywW1wdcrP5I//K26SUknhw0whMHTtoHkRzWO0dlyh+MQKdtNtkl9XIi/V7lQ2UH1WOzzDmFvPB6du1DFeZvduQnQ/2KAIr3X8+/r3H3Sy4nCtdJ4u72ykGVHXc7eA4Dom8/fV3Vab36mtocCAF1MkDwUIy5jdb20Fwfo5fI2HA/9xzp738yaThb/ROg1CXmbQ8HXQbh/AL0sYAG85OC67unIUr19AbeSChouP67TD7j5gZK5tmlIG3l0l++d3emFEft9JituJNmJ0Myx0C+isvbBHdaRq3Y5pebX4JNsnF4y415RfWpuRVpeTWrOs+7hceYVHQOXC0Urdrp0UDk8gIS8pl82nAhMyq1kwDrrZD3nOAA4ffPJGv2w7PIO0VtOp+/KGceUdQzSABQOeNqPQD9NgHrFZSrp2fcAsAFiLj+S1PV81MrmYJhNcOpG8+hOLuRVNa/ZYb/V6VL0zdqYyw9OpRe4xNz8TsUgLLO6Q4Dvtw/XtQ7r5fAAgANw7sFLqR12hbVdQuGMi52Cw1TQTwewDL6ouNepiUInJPCwuXOFttmV/OeDADbxBZpGvj2iaOMj0J98r2SJ5rHkvHHQzwVIzH62dJPN5TJKK4tn7Bqz1zaUDpBb2yy51TLy8n0iZTcPdrkkH3SKYwDcqaf8ssM7NlO4eSgA2OuauM3hYidt3G4hlYsGpjz8fZPltuPBwcn3c6tb22k8YrkvI79Mabd9St5TAGjqZ6oc9DlxKn9wmiMsI809Tr3THtV8pmEfmp4/OT0TA2XDwC3Ol1uZgvTcMskddk/aR6Ff29jLOToNA0jOK5bfYX3zaTUFwMDn0tbjIS1Dwr3cc/ebft7q8aDiBQDoeacpHIlupwl/yqvoWKbjfKWKWdjSqabn5Hv+hkil28icLaZBRoHpVIBj/vFrDTxrugaJ9rr6fOg3Hefbxc3jygkQdq1SeqdDadOQSJJsAAFAVceQ2gFXl8QbfIAn9Z0y223O5pYSCcIzy5fvcK7o6KcDbh51e93RoCEeBtMMkMST0NT8lbq+9ytbASAht37lTtf75a0AwAE4k1Ugud2yjM4t7Bn+eb3JTodz4RllJ9Mex2Y9Nwu7/qOaYWBCJgC4xqWp73OpausHgLS858u0zK4UVQAABjAEuIaBi3XQxX6egA3Qz4fS5q5bxVXxV5+Yhd38eqv30YAUALhaWP/9Np+oa0VEwTIfV/2ubZGSX0LIJ62kb+k259yKjrGFH7fgM7Z6om1e/aDrok2PIYA93unIkr2Wp0u6AU6EpnygZLt4U9Bv+8LW7AuQPBiqYBSx1fJUYSu9k833Ol+wdGfgd5vctcxD5E1iEGn7TXZJ/XyIyCoRk7baZHehtk+42eh0/slH6q5bbc9OgP7a3qFftG2+1vY6nddKNP8gD0xOPkB+NrI4mQ0AJ288f1/VUfNEbHXXMAB00ITQf62kBwPo5fK0jod+ttbe71rtSzpb3yPpb0r2ZifvEuIQHWJpIOMbbVPmSJp8tzNktX746j3+coZRSkdOHvE+306mTVb9/yxNqYITEkz3CgZwYrzVT1BJU8/649Hyej63ntZOGDyIF4tqmnXMgpZutv99u/uvWub5FQ1jX6fj4HKhaMUO53YyBwAGWJwTgUkrdnqG5w9rOV494BwHAKEpd5bp+t+vGz2+5puUr3rsVFn7wAj0F1AEAABUAeoak6GkZ9+D4wBQ9KJr9d5A/4yiit5BrUOefuevAUBmQdXv25yX73HXPh642cRrs4mXzgmf/XZBlx/VtnNRPftIY7f4Pg6PQN7z+c1SO2yf1HSMN9xE22YQnjEF9FsFX9h0zLeFSicE8qi5Y4W22eX7pQMAtvEF6419e2moiNNkq1+0IckGcDt1bam2eVEPu4PDN3IRQn9OTbP8TtuzNwqIlL182OuectAplo7DnXrKz9u9ku8WEuz5APtdE7fZX+wcd1AEAwAWwPlbhbttw1ft8f5W23mnY+Kjxj4AuJL/XGm3Q/L9YgBo6mOo6rt7JJWIhutprP5x4smr7ftxq6fNySvouDQAAFUd9NW7XC1PP+lFIS23VHKHXYHI6u/o33DIyzk6FQNIflAsv93mZlENBeCgd8pe66gemvBQ6/n85l903Ano1/dJ1bJN6BRBf2XnbzrOl6uYD+pfyu+wis54QFxQAIB+Nr7XLmaXa3o3gElA3DaTgBe9ZEI+WeXDy7c7Zz99MbZeNBx8U0sV9rrW9zBFzUHUorpjkIB+AUBBXafMdpszOaXEfLSqXyC72yky7VHNIEvZMNAr6YlI6NP1u5J2qvR+n+CUHC4GBz0TdRwutpKZAMAFOJtVILXDspTGvdcy/LWGqZSez3pT/80m3tom3lvM/ffa+KfceYgDuMSlqe1zqWjtB4C0+6Uy262vl1QBAAowgGHrjTxsgpL6+OhLBt/1dK7igUB5Pe8dloF63pd+2BV6xP8SAFwtqF2+LyQhp4Io59XHFTLbbdIfCcez9OLeZTpOrwn9y44dCsgUJSAD7PNIQZboWp552gPgfvbGxyR7SfOM661QPARZLyHuMflq2VCrAFIKXi5ao//L7qCLZWQyQFxhG7LMfKN9Sh8PEh7UfaLhtnJ/8KPWQaLlDgTemqfguM0+cQL0Nw9RVQ8FfExysk8sJlSwjszVtEkSX3XcOykPAKKuP1+o4qhpFlvdNQQAHXRYc+iUuIxNVsmI1W8a+tlae9/Mmi6uwCb6NrLmhI7HFUIBq3rIoUm5N4rqqinYfu8M5JcDR881FlCgeAAulvHjC2g5NRQKf+rrSP9BmhL6UQAmCkMcjMHHBePSjnuFsPpJJqPQjwIUNfdpm4WtN4vJaxyewFZ0CWqQyS9qGr5dNXSnhnqvaqCPMe50Ih0Dl4tFK3a6tJE5xJOaHorSodAl+06uND6v55YIAIm3i3/R8U4vHO2cxyOuSx4ML+8cYgLI7vewjH9CxQEAhnE47HNefr9jL44DQB9LYBiQtc0lMTz7mZq+Z1F9BwA8qGxZvt0l4OZzAQALgAXw/9h76/C2jqV/3Bfe+/Yyvb3Y21tukwYaaJI20DCTHccBJw45YCdmZmZmZobYjtkx2zEzxMy2DLIsZumc+f1xLFmSJUOStun3+c2Tp5XPWZidmf3s7Oye3RmAZtzCGIOH4yM3DH0eWIbOsjiwCvQvCsY7o/4jeTsh9PMAKAD6HnEX1O1FoX/bOY3U0lY8gEFojYTXjyFL/POGz08+SapuBpGK+qnIMVXH0w/scFwujsW+twT9g3sv64c/qxJC/3XrxLtmQRj0f6Fol1C4GGyRAf0ohc1pHZmdYvJpAPVTqH1q8+dn9e5Yh7IAnla27L9mlljRBACDc7RDtyxt4uupojYhjvTI4vi1JJ4ZOqpiE7f7mmX96KJVlDb1pZS39eBZNlGln554klwzSgdIKW7ZrmhWPsrDZNE8hd9xycgsIE0C+m87JN0w8F2C/vKhDQrWFe0DgO3w0Y8Qgf6JLy9ZpHbS6semD94wMQvNRIQuGp527I79I7d0CoCaU7C8unP/DBHT17O2ha2XJKGfDRBR0vOVvF7VyxmsbUyA4vaJiq7xzinK0dtWllE5CEBNz+Suy4YRZW2YqdMAfewQJa8TGPB8ZNcN25pRqrBDSZ1SowAsgEdOMdeMw3M6ad/dc/HJamEJGXj24mtF3TYqu3Yav/G8gVtON2auLIApgIbx+Qkqg49B/y3rzqkFAEgpbflGUS+7YRH65xHk1H0rQ4/ECRbf7WnbZ6d1vTKbWueAA9BC4n15O+KefQIAZFR3b7vhHlPcjnH1tLp9j6JeauUS9G9RMCtrWwH6RXbT4+k8Te9CuU1qd50zhI1cALhpmyi38apeaM0sCkVtw/89b/mXU7aRlZ31Y3iblK69qt5G/k/HeeCe2fOLrSp7HnpWTRAqBqYUbTLkNj85axg3RuE0TZC+uR/wy22qmiEF5S8nw0u7Prrs/vM9Boom0RKbO8lsrkNsxc92PNlw3TOuuqe0c9QwsujXex5vvuFe2j0JAP7Zzb8/ZHxKKwiD/kkqfH3P/xd7dJ814FCAWTbnjIbHP44bOaa3UQESK3v/9xvtDy65BBb1PG8fueuRKvfB+ePq3t0LPJeUsv/ddu+Adkpm11TDyPRNp/Tdd33iil8y+G9dlEcq9LMByrqmdFziYvPrOEvzd8n4JAqg7Zlx9EmQEPrHyeyzemHbbrhmtc6PU1mjRPoYgTpLZrD5qGguWT8woiJgGVe7TWnR6wcALkBi1eA/TpjI7dC5bZ8EAK3j8/vuetw0DxqeJs1zoKB9aPsN1803PDumiAjAQVWnU/rRA0QuB6C0Z3L7ZZNvlU1nYXFHY0JV95ZrLjvuhdy1iWUigALgiDQFXZ/DWuFN02QAIAK4JlQcvWVd0jM7h8JNI++HViF4UehX1K/pHpc1YfLOrPtI3loI/QgADcBAAP1Yruqhie3nnqSVtuABjMJenLrvsAT9gmITnjd+flLLN6d+isIdXaD3TS+UdY/cc8n+9LRR/PMWNgCOzlQ191c29KAClHQP7r2sF5ldheWd4YKyVfwds0AqCkW9xA2XrBOKFqGfB6BiGXXJOHZKfHv4CJ6kZBhq5J9NQQEARplwUdPrsoEfESC7tmOPkqFfdg0HYGCOceS2pW18HQb9NB7SNTQ2OoPnosBFYXKO0DU0Tmbzl0/18pt6N503uGAUVN03QeWAd3r9Z/K2Rw1S/3vOQtU+gcBlowAlrWOfnTHweNZPASAwEZeMyn8dfGQelIECJJY37FXUy6vrJC96/d5C6I8tH9qoYFXR3g8Ad+0Tz+mHC6G/vH1ik4JZSgthisZ4ZBOx55ZV0xQR06NXavmGExpBOVUA8MgxWOGxc/8MCZNPdjvhK0UzCehHAV4MTu1S1DfyTSfxAQBqB4k7r9tpeaa+nOUcu2NlGZ3NB2gamN19xdgprYbMW9zClNc48rm85SHN2NvW0Qt8Hg8Ahyd2DU2QWFL2xWJySylvP6bmc8448axWQMPwJAhW+COeVe9S1G0nMUfoDAUtz2NqLh1zVBRggQsOiWVHbjuWtgwAgG1E+jdXjEu6cXyA1LKmby7p5ohBv6WJZ8IQjX3HKXvrZYsxOgcAKFzwflb3s126t+ziACCjumv7DdeY4jaMq4yqtm8u6aRVNWHyedowvVXBfCXoFyU8jaPumCz3j3M3LaIEkkTJANeMguX+fkDHOwfPASaAZWTpe8d1/rn/wY7LFn/dc2/jWd3gtGI6QHkvYYuC4W933tmkaH5Y1WHndfvffauxTcG4qnMQAQjNb/3opO6vvlL56ITOtstmu+74/uHbx+fUnCeIFBCPqg/MM69Zxr974PGfdt5+/4jmb7fd2nrJPLK4E3M7/VIrf7X15pG7dt0TcwCAI6NbFS3lPlPKqhkEADyLc+yW2R93qdjHlvMAZmhMLZ+cfx7W/ONOlb8ffPI/W1W2KVrFl7/kA7ycnFe1j//D7vufndbfctHgL7tuf6NsVdk5/hYu8oril1BQDADXmAK5332h8MiaI5ZQ0lbV7aP2q9j2TxMAgIegIelVv9t569OLVkqGIVd0vK5oeyg8sjVyiRiZkdwsIVKqZJl0BMxCCzccfzixsIRN8wy2QUC+3EeXrxsHAxZwrOw+esvyirangUfyDdPQjUoOe9VCOycXAMA9ofKzUzoqpkEmfpk3TcP2XrfYefExHln8rv3lDPHkE/+/HTEOyVuczwJAflPPd7ftLmq4O0fl6Lgn77iopWETiqPQiAhyWd3qlp7TPJMNADyAmKLuzcduvegYFApNYtnGK6nk34fUcmrahU8YAFq2ASdu6I0RF+VQ3Tfy+f6rKYUviAB63tmHrupOk1iiUgGAuJyq9/ff3nHFVskwTEnb49JjlwPKZnuuWjjFFmOxrGkqXUXHUVHNgg1Q2tHz1fFbYelFWAlzbFDS872u5UBH4XnX9H+PqsVml2KvEICrul7nnnjjxB0jEpPjGFO465KunkusT1LuI9uoY7fMkkoaAKBtZO7kPeudl42iClqbhxb2K2nbhBdh4Do6z7xwS8vRJ4KJIAw+4hOepqRu3TVBlVjdwZArqbTzW2WrvdfMHtrHPfYq3Kjk8vdjJv86pqvnX9gyiuegMEPjXdL123TBQN8jVds1+cxj7+0KeoYe0QCQUFT51bFbuVXNdABlk2DFh9YzpEXziH7e+eERtbLmbgC4aRJ44qELjrz4vWtZ8+CnR1STqoZQgPr+6aP3HE89cnOOztHzTPnmqpmuc8zYPBUA7pm6nbphNIAjYPLJbpz47NiD3OpOMX0AkNhc/5TiA9dNNVwSXaOzFZ54nn3i1TCAG5hZ+FbhsVlgMgowTWZefOL6lYKJc1gugUIHADwHDjzy/+tBvcTSXg4Ag48Ex2ZduKXf3IeDZYRVNUvhXNT2kvtcwTq8iMTkgGCFPzTl+aZjt9pnKSyA4pahI3es5DW9XKJy1exiv7pgoO8WN0tmAEDi89qvzqgdvW1b0TOVVtq09ditnBfNWNOICHLoyhMd2wAcmxtb3r/1vP5NfT+vuBwT79SrRuEfnTE5p+bAReBpefPGs3pRuYtBwozShq1HVVJLXmCFpL8Y/vTw/dJGsaFR2i1dACgAlcNLL2u6bxucUFSPLXOgKDBQiMuteWLjm1XdQcMW5RCIKazTdI9RNo944paQVtmO7UKg8/mZLzofOcfdsAhzinmW3Tzqnvjc2j++dWAUBaCjkFLW9sAh9qF9RHh+XWEHzj4sMzytkMRkLQ9ETpAR39SS+45xKlbRhn4pxa3DXAGTVR0DBh4xwSmFMyQqCkBkIW6xuZouEZ1jswgAhccLSc4z9Yktau7DPDQ8kx+WVaHuHHPTIlrXO7mwcZAlGLeH8BSv5JK7dtE3LCJM/dPq+qZFV8XEr/V564gFUNY6oGXrFZ1dKuvbFmxK/7Skzj8pH0+lowAsPpJeXGPgHffEPVbdKUzdKeSxY8gjax+XsJQxPBkFqU6ylMkEG4W8+pfOYSlEOlcYWQKA/lmSrkdMXF4VCsDho1yA2v4Zc/8EA4/wgsY+VY/sIxph2CINnglB6aW3zAJuW/iHZJaXtI34xD6lIotf1ixwQdcz44Cq60s8S8gEH6C6e8zAO1rRwFfZNMAzMX+GxgcAGp8fm5mflFNM5fJQAB5AY9+Ue1ji6DR+Kf4l1COKoiha0dZnE5zSPTYlbBULIKu4OjQpi8BkYZY2NEdwDoxp7R+mAWRVdQTEZ5KZSzt8MNk29QzbBCerOYapOYQ9dgwx9I5xi82u7BjmCMyVwmYnZRfHZhRwAPqmZz3DE+s7+7BKKTyIzqlMePacg0LvDMkuNLWxB+uoKB/Q2Oyy8MwyEnPpAAiswAUOLzSj9LZ5gKK+v5pDSE5NJ8YTE4Gn5S13Lf0DU4v6ccSAhGdFDS8xNmaobOfA6KcF5UwU5SBocn7l2fs2bZNMoc0Ir1MHAASgaWjOKjj1umnQZeOwx26JkYWtIdm1SoYBel4Z83Q2ADQPzxn7Jl418DP0jsuu7U0uqsupqOMBNPcPeYYmdI9MMAHi817EpBdSmVyM7cb+Sfvg5MGpGQQgIb8qNL2YzGJjlQ5OzjmFJLWMzC5+bTM4Z+Qdq2Toq2zi75tShKMwAXMjCspCk7LxFDpmCV0TBKfQ5O4RnMQABgA0BBIK6+5ZBl7W9TH0im0awAEAjkjxi0nPr23FYjjZ1R3q9qFOIckzJAoKQAdU3bvw65tOIwQOALD5SGF1o1NQ7ABuARURkURF6RWNTxxCmoemhc95AHXtfa6hCVMUFmaKVV1j+m5RSgb+N00D/FKfT5JZWPYJAsU/teimsUduQ3/b0LRnWMLL0QmMNzqKBsU/zSquoqMoGYXwZxV3zYOu6vsZ+8Q+75zMqu3zj3/G4EPH8KRLZEZjzzAm4c7BMY/QhLbBEayQ9tE5x+CkgYlZUb5lQr8ofCCCTsITfygMw/EBiAAckexYHWwAqiCBkITby1gAHJFCQCSjWNUAAEAHIIm/Xe6niJaDLeSKvhUSF4AoWDvCzFx4WjYDgChi9z8REvvUU+ZBVOjS8+UqliC+QDJSSpHUEipRrNTf3aNzTpFFL0YWl3kJAKd1AxRN4sbJbGE9DADRw22W1uHJ7Es6AQY+yXxBSBoV0TUJgCaoBRGoFQQDlKhkECE34tAvwbBo4aInwmIkXOWQ6P0reATCYkWHFgk+Rf8UP3QEFV6iK6KvpYPoAIAJQBL54FlYESLefL544dhJnA09Qxq2gbNsEdsQuZdR+JAGsCDSofrn6Pk1XWQGS9g6irg5sUVaLZwcCa1OlCUJEQn/FJU5WVzFQjYQkUNSQbwEEEkDAFwAsuAtTySZsLMggj8BAMeFc7qhhkElVD4fRAoXsrTc/1seLhPtX7xlzaELcqHi+uKAmBGKghhXwB4LgCLeEL646ER/S1QtE/qXjWYoX8TyQIRRiZqQZbWCeJMQkXYK5SLMiyzLK0GISFHLEV+wQrXUH0QL5y9TjChXy4qS8koomR/Z5V8mI4EuENELZ1dmUSIBgqICiaEIoEJxraedCCxdOipZl9Ao+2YWjj5023PdNDijNKqw/o597OaLxjEl7SxkkSW+CP9C3eFI5IDEbEVD38N3HBsGcABLN3uLooMUgxQ/ZWFdMhFKRvSFBGPI8vyomPmJ2qGUtLB4j8ni+CP8h6JL1iyTwyVUQVFJoxUmQ8QZFjo3ooWzEbS+czCnXLg+JKhA3NolqljWaxYhAhG2RKAC7C9E3DywEUW0Gy4XkYBRVFTFwp6OLvZ0FBEoegUVL+/XqJANQQuFzxfonMDUfBWLqD1XLWqGCOLzfqGGpVWFirkjyxkQSlK8OWJpEGm9GJX2D0CKgaHiSCiaWPRyCqFaV4L+tYHJG6I1XI22QmaJlG+cadHO8ENJZO30Ghyh4pYjWeaahb9iWhSAB1DTh9N2iryp533bJPCuqX9MzgsShwsr1jE2g39o4q7w2DmtvIsvMvuUxqd4MaJpXm3AFof+VYUhxtXKiWX2Mml3GkrLv6yxYsi6an4h8VGUzQcQmXPIqGvlMkWGA1SCAanZ18bhUlFiICb+W0LR6+kH0u7qIdI5D818Ljy0SS5pljyfbglRpRb26pAgmIAK2iL9WLw13iwkW18rQ/8PQLJOwZQhu+X+99pqWYMNLK9xjfp7+6BfjN7Q1ES2gyMr+QrQL+CJxoOukenWgXGcYLMKKpJ9eQiVzeOPzxIm5ilinuZiBxH2f0lnVLKcNyKQ9cGKjN73qnNHgS8nI6NIdcIqfkAzEBe+UKWiEy8ZXX5tTErhQXrGV+2ZwnwIwND0/OiyAyGk55LN/PpuOlqCfpl516tQWV1A9PnrQL8Md2+tZwCdMgAAIABJREFUCljReVlLWbI9MlliEku49MdaXBtZhb21A4EkbyJYib5B3r/X9q/dP/zxtfBqLHxvjIsOB1LqWEe9qztRq0PAip14dUakTYa+D8mtQySorL9+MvSa0I+sRe+ys68K/asVIDuj9MFTJvSvM74NIDucuwoPPxTJahSCosLl0h8B+t94P3lb9lz9ZKH/e2BhmeFJ9dHXHj79AcH1lX3AnxxJg37pTRGJfYqB5mr5Vnqx5gRvgFau4xWqX3VxWioHAsEtLbtId2rWXuKKr5enRgHEJ49v0NjfjB7f8q70PWG86FAsa1h+TcmsmB2zQ5H/vQa9giO1RnoNh0Ui3+s2ciVO3nILxmgJ+pfCSRhESVmMEmhURsvebuh/xWWDFQtcg7+ylq0mr9z89WREF/fvLAL/Gthaf73SLWe99MY19WYJfSX2Vm2USP+SPWNbTyHr5GER82Xu11oPrQP6128tIg7ougp5c9Av8OG+vxHuhyBR6H+dctbaXd9GUUkxAhRWvK569SJfWZprrHVVB07ygdgcRSb0v16n/xFiL+IMr5UBEZh7Y2ysWuHqj16Tg7VNQ5cnWWEgf02OVixeepb1u/VvQIpvUBevMS35gWkR+l+7z/640P963fh7gP5VK1wPM+tOJhv6pSX4AS31ze08EZb4Ssz/vwz9a0j4/xD0v3Uw+0qj149Cb3Jz56u0+qcgI+n0hjh/00Ao46O3N1fB94ESr0uvogvpknnNac8bkjYq+ORLKq0at5F88AMQCgj6SmG6HxYrRBT000WeN0TSoZ8HQOIg4yT2KJmz/B+ByZN6T/FbAv0oAB+AJYhosxF0hsLBUTg0HvIqtrlCNdI4xxxbBICFopNUbk3vTOvIApXD5wEscHhtY9S63pkJCovMQ6aI7Dkql/sGplyiPK0E/ZhkGAgyR+UwBRc6Y0BCYnPHifQpCgOTkixBSW00CsBBYZbKmSCyxgiMsQUGjsKcZ7AoXJ7wQCEUgMrizpEYzDdxDjYKwELRWSqHzFq8Ah6DSgSAwuXPUDgcvlgl0qYa3yP08wHYKLzGqa8oVggXgMpDBmdpVR1jNd0TY0QGlY+s8rm1oAFEOmeOymbLnmRhXWOWwiGzeK8/Xq0d+lEAKpePIzKZXASwSw3XuMtBRDcoAJ2HzpDZVA5f4hgDBIDNR2fIbCIHwdO5eCobEStCEvpRAQ9v3fns3zMJoB/zMwREQ8H3acN/jjz5zzmr/1yw//CS40eXnN6/aP/v8/Z/P6pv4P10jsZeyihbZGue3aOrh4xWnaQLHrMRtIfACMqomqcxAWCUSDl0w2SnktnTF4OoRPoVuZP2XvQTffHEgs/thFliS7p33vJ476TxlxeM0su7+wi8yybRH5y1+OSsqaJJZEjJ8IeH7ijpuFAXy5LZtBU+UFqhBUsnsYhzzwRwick/eN2gGzeHPeEC1PcTrhsFf33VYs9NKz3v9BESR9idVlrtF6EZBlNJ222TvNG2K9Y7r1jsvGK254atimVcXuskjb9oWPF5pVfVzGvb+0Am20uCRcUYkFLjyxmGgqaHU2g6U+TzeS5AREH7YRXLloEZGYJZB61sILJMGwEYI3FSSzsm55d/GbSawy7ykw3QMEJ+5Jy644rFDkXDr5WMdl23euKe3jVLl3lMkwg5BMYrG3gN4akrpBkmEC+rW/vF5bCltFRU7DKMcxE0sO3Ca2igoJFZ1d3Hb5vWd/UDAI7Bjcl+QaAyVmuQJL3EURUeO5r7JM0zOOhi1YACsACSCurPqlo+bZzW9cp6aOaxcjkoQEMfrrBpbIHBFXu6GnRJd4O+j88Jvx8SQL/4/JKOQmBmw8cntT6Wt/3beZdfHLL/2QGrv551/OCS63snjY38svBMHiw7zWM5SIg+RGWfcQHieRGRVyv1vWU/MGobJR9+6LnlstkklQEAw0TK4dtWX1+3SasdWaPXL7teMehfwZNkAFwwiZXbpr1HO0ErpLIFzwwufPnX41Z/OePyMOCFb9FYSPnkh8ceKhl4kmX0FVmtk8rnWj5hw3jLb53ecsns7/vutE4tQv/APPmUqp2Cfmh6OymkeOTALbsHtuEkPipDVlJQAAEYpTH2qljvueftljfuVzDskdllGFp+VN1343mjoIxKPgooQGlbn1tk9svxWVlTB4k6VqbmKc4uFSd9j2SaiFWxAdwzOj85bfiiZ261AhY5l9VCEEhP1BpX4Fm0QIeo/HMafr3TRGEaYSHLr8YVlCXpdla+nD58z2nHVSuHpKaCXnJRH9kuqXHXdZtjqo6t41RkNQtJLm5wSayaEFwgvHwyiAL0zBH2XjW0Cc5iimP8yiTRInEeJAuQytuLPrx5cF7v1BwAhOR2fHPVdJRAWp5lBcvnAzD4yF2rwN2KBs2jM6IczbI4ygY+px/adlG4wUWDfqllsgrE/uQC3DDw0fbKET2yZy2AjYoIDQQciP6WgMe3jaQGfBAeAJ3Hn2eyySxOeuvkJ8qBfz5q5pfftMDizjLZRC5vls6cIlIoCODorNEFMpHF5gLQUJig0PrniYMLZByNid2qwQegcnlTRDKRw6UBjFPoQwTSJIWBneeHSYfE5Y8Sqb34hQECaYbOwqwVkywDhTEyrX+eNLhAnqEx2SKeLAKwwOYNLZAH5kkTFDoTBRSAzOVHFvf9/bT1v8/ZNIzPUdk8Eh/pwC004hZwrKVL1ols3tACZYBAGifThOfVIgALLPY4iUrlo1Q+Ok6mDRFIszSmrBNOMPYmyLRBAmmUSCEKogwMHr9pivH1ozC5nfoepQP9FGYvlaXhX/yHY9bfGaQ2zlGn2cgok1c3hu+aJTEEQmABTFHoAwTSEIFMYHGFF+MBAJWHjJGo/fOkCQpd5GxL4fFTgACwEQRPY+AoNApn2YUSgr9HyayLuiFfXnX6/Lxhy9QcADAQ8Epv2X7JpKZ3HjsaMLa4desl8+zGUWnNlR4hQQBGqPQj92xULCNmEaABMAFYCNoxTZHXD9l3w7KuD8cDILDYUyQqhcvDmsYBmCTTuqfnBvALFC5P2CQik7XA4ZF56PA8sW92fo7OQpaqWqq9Bcfde8/dyPcpXaSHcQC8sns2XDR/0YsXSmaaxuidne+Znccz2MK+SmWx55kcMgJjJErvDH6MRBU9NJQDMEmh9UzPDRNIFAQIDBaFzRGZnC0SFwBHoXdP43tm5+foLOwsTBKN8cg1bfddv+edw3QOj8zlz9AYFATGF0hTJAqNx18LthI4/Gsmoduu2pb2TnJQ4AJwABgolHXjtyhY3bSMofBRHsA8k02gMRBBS+lc3iyVzuDy+ABzdOYYhUFDUA6CEqh0GgpzLE7/7PwQfmGBvXh0Ug+eeEjF0j6ycIrF65sjDOIJRA5PlD0agg4RSD3TcyMEEgNd5I2PwjyNQUFgjsUZxBMG8QvzLM7ycUUo/zk6q2cG3zODn6GzsMMmF9i8YSKVyuMTmGzT6LpPLlpW9o4SGawpCp3AXIrPcFEgMFjCBooS9iStomPjGa3w4q7F41RRlA9QM0bcJq/rm1xGBJigsScpSwZC5aED+IXu6blxEhXDHw4Ko2Ta4ftu12yz2qfJbD6fyOIQWFwqH8YWyL0z+CkKXbT7cwAmydSemfmXM/gJCh0rhA9AYrJIbC6Fh4wSKX1z83g6kwdAR2F0gdQ3Oz9NY/LePvSXDv2i9l3eO7Pxhs/fjujHl7ZgT9gA1kHpR26ZBea/VDaP+EZJL72kZY7Jj8hvOaXmsuW89s7LhleMguOet9G5CAAUt/UcumZgE1mQUNl3Tt1l+yXDc5q+eQ0DbB6fBzBKpNlHFh6+bb9dQX/XZf3b5kFFLaNsBEEB8ExeaFbNyfsOWy7o7VQyUTYOTCltY3L4fAAOQPMoSd8rfbeSyZfndE+ru0UXtuG5SEH75Hf3Pd85ZP7bo9YHVV3jClvHyDR1ywAVE//Stgms47aPLxj5Zu2+arbxnO6J+y6BGXUz9EXbDUgrPaLqEpjT6ZlUdfKh445L+ipmYbUD89zlRzkBTNN5gVktJx44bTqj+c11M5PA3I5JMgJQ1TWuoBf4h2OWvzhks03F/a5d3GWjyE8V7H9zxOqf5+wuaHg9qx3JbZq68MDK2DOaBoACENn8yMKOs4/dtl7Q2nnZSNMjo3WMyEMXkcsjsfTwXfttCvrnH7vEF3UscDCXXKxHjOEXdB1DL2k457zoBGnE4KF6HnHKlvGGUXU7rlg0jk8DwDybp2yTeuKJL03gcjYNz+65420VXrCsgFWg/+hdC1XLYIq4oFJrOj8+ouYWlwcAOZUN+ra+rX0jAMDg8DLKWu+ZBZ59YK2k5ewSkTtKoAIAlc1xjcm3iyoKTK+5beh9VMXsoVVwfd+0yPfHi9SC4+6952kQUEAWuWmZAeCRP/z5RasXvXgUgANQ0Tn+yDLooprd2YfWuq6x9QNzGEykFFRpuaeG5nWq2YScVrWWf+yUVdXF4PEQABYKufUDN4x8T941v2Pq7/O0Ts81LjW/RhAOWJzwcflIVfugqnnQKVWb8w9ttOzDqzqHuQiakP9i2xW7f5+2VNDyrO2dK+6YfWAdFvysSeGRlaqB8+A0aWUIwPTwrKZzw1lt57RmiTgIDcAo7MUmeYuWYSKRC+7xpSbuEcK35S0vH1gFV7UPAkBIcq6BZ/IkhTNLZug4hITmNznFPJdXtz+pamPmlzqxQEUAeuZJh27b3HdKNwstuaThcuqepXlA5iiRjnE4Q2f7JpUqajide2CtpOEYmlEzy+KhADQu6DhGBOS020cUXNNxOXXPysA9bhi/NPsSjq88BKpfjj+2izh9z/LEXctHtpENvZM8FEpaR1VNA9uHJ/Ibevc/8P2/owY3TYJSSzqNfFIt/ZKErtjkAs3EI8kvLluqoFCAOQacUHO/Zpk4JbgxlIGCdcyLXVctBuaYBA7iHFVk5R2HvZqisH0SSuTV7c4/slEx8EopbqBzuGQOOEfk/ve49oYrTmq2UaN4YkR2rUVoXkhm/SPL4OO3zW/ouxc2DmAnm1I5vNSyzjvGvvLq9qdVbW4a+Oe86ODw+AAQkpZvG5zpl1p93yrk9ANrNdvwxtG5tPLO++aBh1XMVc0DO8eJss/I+3Fo9R0+z7txG5R9/nZEP+Z5EwDwAcgAiobBP99271/n7b9Qctp6yTi/cSTjxdDHZwzfO2lyTsvjkJrLHw7qb75sW9o+AQAx5S3/u1Xl32ds9tzzOPnQYauy4zvf6Hx3z612cJILoOOZ+Jd9D7954PHIJfG8tud7x3QO3XOeIDG5KCRV9L9/5NEnp/VOa3rte+DylwMa26+7FLVNAUD9COk79ZA/fau+S8X+wAPXfx7X+cOu2z55bSlNU3vvuf3qoMWvj9nsUrGLLGjqnidtv6T38SnD+IoRFKB1nHhQPeQP+7Q3K1l9e9fx4/Nmf9yjpu5dOMPkAICm99NffqPzsaLj7jvOxx97fK5g8fsD+ic0Q/BMtoRY8CyOYWDhb/dq/fec2Xd37DZfs/vtPu0jj7ybJhbKeydOa/r97qjl/xyy26Bkf9Us9Kxu0IcX7H5z2PbdU7bHHjolVw8FFY7+/qurxx/akQCoXJ57St3v9mp9cN70yH37Ldfsf7Hj0anHXl1TBDoftL3T/++A+qZrtme1/TYpWPz7mJ5nZgd9WYSnbwqv8Nj5y/P6MflN2BOJnZRR+c2H73s8752MLGrfrqDbOI4DgBk667hGwHWrRLogwNM1TT6qEa7hlrSYbQ1BTwH0W96zDCYJrtbCMjWPznx7xfSBYwQCEJRedPiafnHzSxQgKq9+n5KRjkdifuNQVF7dd3ccHjmlElh8Mg9Rtk74XMFC2SQ4/nmHT9qLrxUNL2p7TXNEluhRFABacJz9D/wvGMbG1QylNg2m1A2m1g8mNQ7f8q786Lx1bd8CAlDRj9utZHTD0C+9sifxecu5x04H7rnWDJEAwDu5+DffaJzRCQxILUso7T6v4bHjonZFzzACUN4xseeq8TWzkKdVvWHZDXtUXD8+qe8eXcgSl0T7CO68moOSoW9u02haadvpB7aK+gH9eFrv5MIlo+jNyh6+aTXjZG5CDe7z88Z7Vew0nWOsfWIIjFUQAGumfUTGZ8ceFbb1L0pSoAUuQHYnadN5g/CsFxMs9K5T1ulHtoLpCKSUNm2/Yp1e2Q0Aeq5RBx/49BDYIwTGwbuOH18wN/LPSirpMAst+PKslnVAJhlFB0jUXVfNPj5jpOqUlFr+0i665JNzxkY+qQBAZvOMgrK/Oq/pHJlT0DzqGJa16ayGWXgFicuj8mHvbYcPz1tquycllbTbxRRvOaul4RBJXRZ2rBuYPXDH7Yy6a3pZR0Jx18FbNqfv2nTi8Im14xsvmJa2943MM+655Xxw1iwsu6FzkmafUL3zkm7nOBkbRZ439X59xTK2qG0FU7SMKN182bphcAr7c47BOf7I675jOhNghsm7aZN0UcMFAPBMjpZ37u4rhsHpZcVt4xYBabsUdENya+gIlLaN7lK2Oa4bnVLRO8/m6gXmf6ZgeUHDKzy7ITyv6dg9m73Kpr0kPh+FtLKWjWe0dLxTc2r6Mqv75LW9D920rHo5CgCmAckfHFE/peHl//RFyLO6zYoWu+74KJuGROY1e6TVbpfXfWIfTkHeroVkmYc2C38Xi0M/D4AIoGASLrdd7YtbQfHNpMo+Ep7Fzavt0fbP8ysdnQAoxrE+uR3xj1PWgZm1CEBkRdvPv1L9+xlHt5xOHkBcw+T7it5/3vc4rbadAnBczU1u8z3jzPYqHKWOBJapHYEF3ZNkLh2BrJo+Pb/M0LLeGYCMAfLG26F/PWEXmN+OAtjGVshtUT+hn9AyTSUDWEQ933vdwjqiaIjBi6wc+9s5l38puDXMMmgA3QuULZdMPjhnE1czvcDn20RVyH2lvudRWMUgkQwQXjn40UXHP31nlFDWDQBPfHPk9pm9L++Y0TVLBPDM7fnjCbt3T5oNE5fuxsP83Nym/nf3q/37vINnYR8FoHqCdkQn9mebb+qHlEzxoXEO/fpRrNwOg+j6yXmAET6o+5f98ZjdeaucYTaKB/B7Pv7rHXeOqrlQAGoHJ7Zdsf7zMWunZ11MgMI+/Hn9qNP3rGq7+4r6yF8ouf79tHXaEIUAENdK+cc55y+vuowuux0QT2Oll3UEZzW0jhDEdAoAAO3jxNOPnLwym6kAUbm1O+R1WianAWCayjj40Oe+WxZdYJZ988xjWpG3LEKX8qMAAAgAT+BcS8Qx+QBjVPoxcejHqGuKcOyu7Q3rMAZAQGbJwetmRW290zw4reF70/ZpHwtIAPMAYbWUjYp2pe24eR6qYJ705VXH9jk+G4AG4JnWuOWyTVkfCcSpBcc5ohH6j4PqOxRNd10x2q2k981l/R1Klv86Y/OfU6bNIxQiD73v/HT/XedByuJtIZVDs5uuOuh4pgCAR0rZr77VDy7pBgAOQFbD0MbT2mElzSwALeeIY6qOHfNkHgANIKZ25pMzRk5RS9CP/be4qWvXZWPTqOejNJQJUD2MD8hpGZijAIBhUP536mGdOCICEFM19el5C+voCgIKbMHdRCsQ9lbPI3r7Rd0X/eMgCv0o8AHqJsmbz+u4x+SOsOCWa8FJdWch9CeXtWy97pxa3QsAOu7x+x+Fdi/whuaZ++64nDVJHSBzEYA5gKvGwRfUnXEc7gCFtkPR+LSmzxgPeADjbLjplH9R04eHwvO20U2X7e3iSrkAbAAegElY4RfyljV94wyAPXdcvlELG6Cw+QDTXOSBXfz+6yZ4vlgsi4egTlFFmy7bP++dxwK/WS+67hl51Pb0J9TPfK5gU9reDwAuGV1fXrbpxy8AQO3kwg5FPY+4Ag4AjY/YhWYfue80LFwsF4P+RalUDlK2XTYLSK9mIigP4HnzyDYFw6eNkwgAjs67bpd5XtsbAAob+z+Vd3DJ7qYBEADmAFTdnh3VCOuaY7EAzmr53fMsmuEBF+CxT8F/zloU9xA5AEyA1NqRDRdNUuqmqQgSm11lFZFLAmABEAG889s3y5vFFNUBgHFg2j/3P4qv7cNyKVkn/vmocXHPPAdgho+oOycfvWM5x+OtrPofmFb3+ku6pjco+0pCv3Go3Ja7miG101wAARr2LVCyuwatU9rPWub9n7zXuycsHKOLeACRlW0/26h88Elk/SQXAGrHmfufRP56+6348mYEQNsr9X+/0ZHbbfTRtYCbHhWBFYPN0/PYDIsHMDBPzm4fNEtqPWmW/Xd5998csXFNryPxkVv2GXKfP3RIrgUs1sYGCm8xJJpeM/reeef/KjiPkOkA0LtA2apo8sE56/iG+Zd40ikNv18fMLGMrcbYJvJB1aNI7nNVs4hKPoCGf77cHoPLlklDJAYCUNJL+tdFx78et2ifEpt5kxGwS2yS+/KavGnUHLJ4k45fds3vdz86rBnZOkMfp8N+9Si57VrP2icAm6cHFfz1mJmSbSYJQZgAgUUjv95555i6CxkgraH7N9tu7VMPr5vkAgATYIENWATKKaXuT8esN9wMsExvCqpod83v/ONJu3e+1SnrwovyI4zFoMsWEhGAaSrrjk34A7v4QTKPChCQVf+VvEHtGAEFmKYyT2gE3XfJEEJ/7xzjsEbEEvQLym/onwrOaw4uagstaC5q7Ccxl8K7iDTox/7bPDqz96rpfccIHkBARskhZbPSroHyMdYWZY9TBgm2qa3WSc1Wya2PQlv+dtjAM6linM5Vsk47oRVIEXj5KeWdGxWsc9vxQk4wasFx99/3vWkZU949W9c/U9c72dCLq+4naIXUfHLBvGmIPEVjH1X3e+yZLVzDnGLBTYcMeW0vHoB7UtFnl12KewlYmU2Dc99cMfHObZ4FOKtua+SVOs/mY8LsJ1H2K5u7ROUzRWpHAUZnFx7YRX18wUbeItMru6msZ3iOg2DuqnFg3kG14O4pAgDEVI5vkjfPbRjjiqtJFmHNNvaJ23RGo6JnGMQdMg5AUS9p8wW90MyKURbcdi04tQj9AAApZa3bbrhg0K/rEX9ALbRrgTc8Tz+gYmMWXY9FmsgABp5JZx7YjbE5PSTqfmVTA+8UOgAKQAIwCq85ed9hgQdhebVbrrnntE4JZZ7dNveFvEVqRRsNhf13nNV8y+a4AABkPmobmrP3mtEkjy+6j2OWwr5jEqhoHDnDl4wVRpUPfqFgVd7eDwCuTzs3X7bunyMAwCyT/cAq5OITJwJA1wz+4iN7U98EvpTBEsWOIOQD0ABUzHwva7uPUGg0AF2XmLOPbCdZbADA0bjKdpkXdXwRgOCspnePW9zyrrFJbbVOaHbOaD2iHf3fC3b5bSMIwAVN7/vu+XNc4AJo+OZ/fcdteGFxZ1T90OxGedOIkiFsV9UQkV7Y+jKipNkqufu8Wcbn54wjCmoBwMgvce81sxcDkwDABdAPKf76tkffLBGTj1XQs/3XDWe4PzXofy4N+i8Zhf5s802rhBai4KqH+j7cFYOAT05o7bthfUYv+GNl/7+fsHCILeJi0L/hymndmB4CCgDt05zjOlHvfHUjtqwJBegnI6Yx5bsfBH9w3u63u9Xe2al65JFn8/AcC0Er+6YVNL0/O/Fk7x3HM/qhG254/+aIjdvTxmkW77JZotzGxx4ZdVjtPACOIOb7tHrwvXMO/5V3HCXSAKBvgbJF0eSDczbxTYT2acL+u25/Pmnv+Wzxgm8EQDe0Uu7zh1q+z1kAmgH5crv1VZ0zpqgsAKgfpvxH3ukvJyxaJ8Wgf54DhmEv5L5UvmEfzRNcohZT2vKPI3o77/rVjixM0JD96mFy2zVyWsYAgA5gEpD9t2MmV2zSyTw+EyCwaOjXO+8cf+xCBoh70fGzDdeOaMW0zwJga7aCfmIUXvKbw5b/PG25Q9l57027A7cd9z2OOKETUd6+dA3pqhvIonLr3j+kfsUw1D6m3Dy8/KJB2Psn9R655xbUDU5QmEoWidfMYxgCZ71zirzvYbC6S6JEIf5xWVvPqH+tqL/z4hMNK59J/ILwlVTox3gq6hzZcPKJRVAKAPhnlBxSNivrHnzWTfziitvumzZXtd0uazld0nJV0Pe9bR3+tLxlnMa+apuuaBJFXVwMhqeVHV8oWOW0z4NIsSCI9Rv659AFAx4AsAE8c/s+lzdvGiSOkxl7brkahpYJQ3V4Hqh5F5986EIH8Egq2nrDo3po0aVsH5rdd9XEI7d5BODgbTPrgEwiZzGmP0yhHL9n4xaVx1wM86Oo4G6TcQZiF112Qctnu4LBlnPahj5Zk0QqABgG5Bx6FNg9SQCA2MqJrQpmtb2zK+tISFhDAlKLPz76MOlFr3A4x56zAHzyhjZeMC5pG5tkwy2XvFPqLkJASSpt3nTNOaW6H0Sgf2SefvCmlXNKK2bBFBQ19ko4+9BulM15SaQcvGnmEJ6NXZ5ABjAJrz55357AB6+0ko1XXct6l7Rc0k/bdMU+PLuZhMDBOw6GYdVY9JrKR5zCc/ZdN57gikH/FJF+Xc/npnUMRbyBCEBE+dAXClbl7X0A4JrevlnRcnCWAABcgLTytm2KJvkjnPja3n1X9Cs6x2TsKkWxwB8fIKGo6etLOgV9Mz0MOKBs5JNQzEAQAJiicZXtMuV1/dgA7gnVfz1ifEgjTFHL7YqW82VNFyVj/4euSU2DU1yAC088H7jlznGAB6Dpl3fosf+YAPpbhmY2XjQPKx1no9DYN3nHJPjgDcuT96zvWYcrWcRsljcLK6gFAEPfhNP37VvHZgCAB2AU8vzAA++BWSIAUHmIbVDmd8pGPwHoF/FKUFgW68egX9E45OeblV0zujEJEfnIRS2PP+59css5p5/AnAU4bZb5t+Mm9rHPOQCRlW1yXyidM4gbIAMAtE9zTuhEvfPVjbjyZjIPOifmqgfHaiaZqS96TcOyP7mPFD9GAAAgAElEQVTi+sfv9K1Cc/pJjJP6sX86oH3fJX2IBiNckDdL/vV3Zq7pDQyABy7Zcp+q6oaUYp2wtnfCI7EqpaoDz+Jk1g2/d97hPxccZthcAOgXeP1xDXODZMZl4+iff6OnGViMtXCKyVW0eCr3xQOHhBoAeOKXI7dbT90jb5rOAYCGEZpU6Gcg4JnZKrfhyjHt4EH64n4Ju/iyX36lctE4uZ/EGSXzlkP/u0eNMehnAQQ9H8K8firAs6aeP+2+v/mGd+FLAgAQ+RDzvMs9prB/ds7lWcdfjlvvvO2d30McJPFqR5mx1VNpDbhpimTckIeiNDaPzOKxsH1GIvv6sypbr5sEn9fyOqPteVrXd9tNl3ePGR1U8whMK5qis7UCSo88cCUJFjHrBme+uursGFexaAGC7xXG50i1XWN1Lyfqusd6x2aYgj052PdrY1T60btWqtahotvI2QBmkUUbT2tlvOgEgddf3NlfNc35UskhKKdWmJIO0DkxM0+lz7K4V62TFE0il6C/qmPDJcucdpFZDgoA0DLN3XvPw9AnA1texKTBAvDI7v7somnj4MI0g3tEPVDFNkm4W3uCgZ4ziruk64MAuCcUbFV2E0J/29Ds3qsmHjnNBAD5J7Z3TALmBQ1snaHvuGTgGpkvhH4A4APgiKS2wVEWAAOg5iVOyzfn3YPaYdkvAMAgMOewenDvDBEE0F/XJ7nZFF3xd/vo7O5rFtdt0md4i5KMy6vJr+9sxFFP6MfvvOEyTuLOcuCua+5JNXdhAyMKGv9z1iK1ZgjEof/QTSun5BYsZCkB/YdumjmEPWMuvgKTsOqT9x3wPAgvavpU3i6jflDIUkLN6IdnTJ9WdtEBvrtjZxhaReQCAFD5iGN4zt7rxuPi0E/h8J7YR5/SCpwU8DdP46Q/b26fmo2qwX1xyaYC8/rT2jYrWo4SiFiaQQL58EMvVb+aJ0G1l3W9GchKMySMcGTOkbu2pgnd7kWz396w7BhbNBUM+i/o+KAAwZnVGxTtqyaXFlpwdFbL2BSZw2WicOGJ50OPAgIfeABavnmH1f2WoH9wZuNF88jq6WEyQ8XIf+8Ni7zG4VkmAEBqXdfG0zqhudUAYOibcOa+XZsI9O+/Lwr9GW8/9C+OpaLQX9SN+0LZ990jBmJev3Hozzcpe2X3Yfa0wON/fcX4N/sNH0d11uEYoSVdfz9j++4xM6uoIjZARGWr3BdKZ8WgP/qdbSoJVS0zHHhoGfzFcXWH9Pr6aVbZFHOXRtyv9+q6J5b3ECibrrn86ZilblRDwxTT+1nDv89Y/uqQjW3iCwDwzWz69S6NDVdd/PI6C5pG5Q2CfvnZmav6vhNkemHL2HvnbH9/3Caq7GXPFLmLQPnqstkH52xiaqapCPhl1v9i+/0vlJwDCnqK2iaMwov/fED7w/M2JR1jAKDumyu3W/+xR94MnQMA9SO09+Sd/nzConVK8pOTit7xj0/q/umg3uOA4qLWscCSgW03PX6z/aZ7Sh0DYIDA2a8eIbdDSwT6c/7vqImSzVMM+gOKht7ZefeouisZoGuacFLN5xc71W86ZxQ1DTulNb5/0uAvWy9mvmiqm6JvVXb64z4Nl+yWFyNU96zOg/fdHtnFzNM5EvzgyDTfxFLTgOzq7ikJjTIBiAALAHMAMwAe2d2fX7KumCSxARgAmU3jm85qRT9/SQcg8sEyNPcrBdPq/jmJQtBlP4SEQf8hVTsFk4imebR3AXk5x24cmHNPKf/stMFjx9gFFgIAARklB5XNi1r75nhwxTDo9EOn2hEqH2ABwCOx+qiycUP3MIHDv2adfMl4CfrTqzq+uGSZ0z4nxg1A8zT323seRj7pIvv6UTaA57Puzy6a1vfN0/ioeXjZpov6RR2TbAA2QExp1yfnTGwjcgDALT5/i7Jb9dCiS9o6NPvtNVPP7GYagG9i0fYLWlHFLTgGdOPZj32KPzqh4xrzXGKZt6S+9dwtw9iCFkwTT7upH16w9kmtAACzsMJdd3zK+/AMgKiq6S0KFhj0owCzZHpD3ziOzEIAqFx+y/DMy/G55XvkUQDX+MoPj2sbBj7rmKROoqDqmPilvOlhrch/nrP1KerhA5D4YBZRvVneqGqAyADomaZds4z59xmLtNohANDxiN+vFta1wBshYNDfKg799qNsTjeRcvimmWNoNrYWQgEwCXtx/L4DjsGrH8PvUXG5YxOOo/L5AJNU/nXziB1X7drHZpkoHLxtZxBaJfT6HcNz9143kYB+DHC/vGgWUdzPAeAABD9r+OrY7dTK+oTm+S8u2WIBH99nnV9cNKvqn8M2Z5M4fOvYug/PWx7RjPBMrQEAGhdtG8W/HJvlSIv7YOZnEph3TDfuoGakmlsGkb3YNaboPGW7Z+e0fQCguntks7yZpmf6PAe4AAPz7LsmPqrGvhMLVAA4r+l10Ty1lwR0AE2//EPqfmMLi4bRPDiz4aJFVM1c29Tst0rGiuZxJAA+wACec8c++s87VILzagDAwDfh7H37dgH0GwcX77vvg0E/hYfYBj39Ttn4bYX+xT6NLA+sFbaP/+es9Tvb70TkvgAAPgAR4PRjD7l/HXVLW7QnBoJahhb88TvDX+433nInaOvtwA0qgXKbb98wDWQDhBbXy7176Iia/wARBYC2SeYBVR+5909FPa/lA3gmln5y1vRX3+p9cd3/I0WPd/YZHNcK75oiETg8w7Dy3+/X+d13hptvB++8G/S5sp/cZ/dVHVN4KIzgqRq+ub/dp/mLb/R+ecBMbsfj3cr2xe0TPICX05SvbrjKbVX/wwE9neDy5lnipyfV/2+/ZmTxIACMLlAeuD39y0GDn32t+dsjVnI7NT+Tt44o6sI2D6s6J8t9dvuuXfIMjQ0AdYOkvxwy+J9d6s3jtCWJYDFTNjcop+njSw5yX2v+7ojpz/fo/OmgoZ5f9hieCAB9s4wdNz3kPriWWT8EAAwAHfekd3beP28YSebx2QA+Od1yH53de9OMBMAFeFY/8uU1V7kdmu8cMJTbpfW7A3rmofnTJBoHwC+r9uPzlv+7z/gDJb/f7NV5/6ShY2wRncuTcIc6x6a3Kej/YouKV2q1kElR3aKCgFhAWsXHh+/Wj05irxY4bG23xJ3XrB77Z99ySNp+ycw1rngJ5kT2CaEi/0QJBRin0XcqGb97RO87rbhj2lGHn4TtvuOz6ZLVffv4zrFF1PZOytt57nFefScAFLf2HH/gdFgtyCAsW9U5ZaO8+QOHBAKTQ+LyL+iFnNbwpgmgP7mk+b2jT7Kap8TrhKZJ1lYlCy3nGNFPujgALmmN7x1Sq+6cAoD+efYVw8BvVRx1ArOf+GR8c9NZxTKyF0cCAIew9I/PmlT1L8aRGgdwW06ruabUsABmaBwNt7Rv73pet05Rccw+qJP40Tkz94SypWVeFEUBRqbxqubBu6476wQ+s4jOOqEZqGAY0T6CA4CYkt5PLpgff+SW0z4ZVDz18TGNF904rO9klLZ8c8UgubwHAPrnKPL6QZpOMVyQQrN0sI0s2aRgvvdBwG3n3Cs2Gf84Zf630zbvX7T1ya0fn6dwAUpezu24YrZHxfGx77Mbtql77nltue6SWNoBAGq2wdtvuHbNs4fnKF9f0LKJrsa6KhVFtR3DDl7XH2OxXy6Qvr7w2No3CQNLCgr6voX7rhiMEmgcgIjCjq+vWMkbh5tGZyuaRuy+bhOS20TnA4kLOxX0tHwKiFwUAKh8xMovZcvZR+McEehHUQAYmac8cEr69paLTkCmZuCz3Squhl5JsxRaRNnAvw5rFTd1A0BB5/yGC0bH1TxjizpZCIoAlPcv/PuQ+q4bdh2zTAAYwjOuGATfM/MnMvmCgsWIB1A5RP70vNHvdt5KbxoT+kRTVI6CccyRe7YAQGUj3qnVX1+1vm4dbRiefVwjaPslo+i8BmzBSssj5d8nDK8aBnfPk9S8snfftB8TfGLW2D/1n0OPQ0qGZulMY9+nH56zuOeZbR6ddcfx2SmdqPcOPTEPewYAWi5hB68atA5PYVrW9srcfsW6f5oAABQe39Qzbse5R7Nc7tsM/ZL9GgUYnCG6xBVaByY3949irxkA0TlVBq5h1V3jmNXyAaaoiHtqpapT6hO31PDizryueSOv+IjMYhZA49CEnlNIZPYLPANFAaYpnLCsamP3yJbBMQSAjEJm7aCu37NbVnEPHJPsY4uaxshY+H6UjLgllt53SHnslpJY2ZvbiX/sEhdfUI8pbJzKCXpW98A17bZjhnFwXkX3NLYQxwGIL2lVd8/Q8EhLf9E7SWN4xmTah2e1DM1hccMpJhKS26Tu8fSOfap+QHZB6wRT0PKsyjZ97+Sn5W1UNhcFmCQwHCJzLYOfTpHYokLBZEQBeNY4ZhCYc9shVd09PSy/bZq5KEQCjROYXq7tHt89SUABuAD5L9qsgtLiC+tZCMIDqO2bNvaMCk0vYggc8+KuWcOgnLuO6Q/d0gOzm6boPADgAjABntb26wdk3bJN0PBIjy/pIAt1JaKmGTItMK3YKjSrpmdc4q0o8QEaugY8I1PGiWQAQLDYBQ31SCi4bR56zyI4KqdmgS167s9Kh20K35A5nMDkAiOfJB2POF33WEPvRPvIvNSKbhxjMTyCAtR29gXFZfVPzmCF1/XhLAJTb5n4P7AM9ksvn2QAAkDj8uILamNzqzj8RRY6h6dcorNe4sS2w6MAUxS2X3JRblWzqDPIA6jsHneJyBibJWER+YE5hktU9l3z0DumAV4Jhf14Gpa9ornLIy5vdJ6K6X2KQPaPzazqGmMB0BCYRCC8sNnYJ94zuTRrkLX5spVfSjlHZMaD1TmIpztF5d42Drhn4mcblNo+ScKYnqTwAtLLNO0CCxuH6gaJXjHPxubIWK6W3hGH4MSGvgkEYJ7K0vRMvGvmz8OMSvyIDgSACpDTMGTgk6piGqJqE2kVmZ9cM+yYUHJN2zUhq4yHonQEza3r1XSJum0aEJBWWtSBi8irbxucRAFyKhoC08tm6dwFOisoIbu0dQjjn42ieVWN4Wl5RC5vjskKSnhWWtfOW3wFhXU9YSn5C3Q2CkADyKnt1XSKvmEcpOUSlV3bg3nCDB4EJeXm1fVix0CxEbSkvsMvLoPIl9iAiwLAMInlnVhw18zvtmmgd3IJtgG/cXDGNTJrcGoWAZjnQGhmuY5TeOrzWjYfAYBeIum7Ow4P7MKxsXaOygpKfR6V8ZzOWYR+CXvkA1ABfJPy7UNSpllL/ZTM5iUUNUZmlmCpyQiklrU9tg+7YRSk6RyTU9tHQxdF3TQ0bROWpWMX2D+Dz63vDU4vIS5+cgqT82TXyMz6gRkEYIzIcorOv2UaomoW4J9c0jBGj3xWnVHRygHIrW6MSM3HERe1nFfbGZDyfJ5KBwAWghTXtAbGZ1L5q3/N90PSKsu8y/07kPhAGV2CQpB2VIPENmaJk5pEQ3kskeyiQ9DyjdASt1oJx3lRn1QqWiGACmtEBcuzy2sUPlmBRNOzZDyX+kTiT2Rx8wMq0RYQPJf6ajkzK3MujPsjy5KhIn8i4q9WpeXHBC0n0VXfxSfoku8mESIQH87Eegoq47esNBJmInrKzArq4ALEZVf4JecJpZ1Q17vhjHZeTf/yjMsZlbYmKb0iBIDJ5Yc+q7APTMZeL7+VXkhs8V7Q1j/a1NnDEcmwRtNFxdmW/C2STVT0XGlZhH+iolmWqXA5IeK/l6cp6Jjcr2yaU9cr66ii5YJarhdUXDiiOpIKF1JJQl8YLYe4lWAEBVk6+tHpNQ5tFr9IXuZxVlLO/1qh660sIXTp/4tjztrlia6i65WtYI1J1j5cLKL6qoYhjee1t1qQ+/WPkVppaJQse7mKETGeZelBLI0oLKxBN5KFLLV8LXlEq4jNLNl46IaGc0R0do1zbN7XSqYqpkFzNNHjRV6RUCGHKAoA8zRWQU13W/8ICuvQqRjUynoHr8QpCpJe1RpYkTBqcR5W6GuSFfEBuoZnrAMSjqk63zT0JbPRFcZRkRqEmIBKf74CM6tdR7bMrlfshotqRRfxXuLf20evDv0rHgcr2oelJ1uUyYoWL/5WIgixUuGi2QUppCxjrMD1qkkkOceO31oH9L86rQ3HBcD3pipdB/QjKCoxu+Cjso6Dk1Xd6/Es4pCssaAl6yKzkPDc2uvmMZfN4pSMI0wDc9qWVmIRkR2er8scD0F4ggfr0dFbgyWoxP8BxCWzLinxAKp7cBfUnB/aRjUOzyxNQFGZCL08+LMeQlecpEmtTkripSNyUeEps+Km/taoS4JkQ/8rcyzizL5SGbLGSlSiwDW4kcuLlfL0jdErlvVqjoHM5oiLZf1FvHq6FTKsrR7p3fj7d5+WDZA8gBESt2kY340jY7v8BF/Mfk+dWIY2ZQhkvePoemv/3sFK2piBAFB5aB+OOEPno9LctJW5WuaKrcGTe2NilDBOmc7uW0UyD3J4DegXU+36y0BED0aWXbYExq1vABfNKfX3D0ivxrzU3iFd4OvrM98nrfGCRvE0qIg9iHqUb4olEQ3IKBNdYkMKq+sV4LJ6Xt163xBJ9rU1dltZXvAackr8fxlDUkt+c1Oj5Vp7hV4gvpogqcGVFyTeBlpbwOcHZXytLt6y/rNScSs9kRhP1tjSNymTVx5j3wgn68GdNy2f9aRaNeGbUQkqPUomYpbrqkca0i8re6VQ4auNzevh8S3EpeW0RhuQmXOlBK/mR4iV+/YLUJK+F+j/YRzJV4agtw/6X49emRMMx1Bpp6Rg70UCd8vrWkXL0riS4m2Jyv5Vw8QCWj5TlDF3FK9I2pKgrIEVWdyV9oah/83b0ttjnm+IpHrWgvW8ldf8ZIhi/RM2sbw/dRGvvrlTWuuW1CBTrKtlXIVWB+ylZ2+dCt6Q9/macYA37vS95oi+1szLR2JpQCzbHFZ+srZ6ZaZ5gyvnqyh3ubSlyX+1zQtSyl2V+XUa3qtIA32lEJOUJD9s3xdIZq21rl87PyC9GvSLvfn/oV+SfmLQ/wPR9w/962dJ1PFbE/S/QWtbt3J/EtC/NvdAJvSvd+b3+tpYp0ODrgf6JZv5VtHr7OvH/reS8cnes/Hjrmv9SLQ+O/2xpbTquPomh1xBIOVHplfqqKjYT2mNeGP9X8Y+ljdhJ2ubRr2dtAqfr9uG11Xf2ylDKTt8UBTlAZC4yBiRO0Lijkr8I3IXGHy+0PUSh34uCjgyd4rMpXMR2QL7sUHtx6K3FfoRAC4AhcvDUZhTRCaNx1+6ShTFzAJFARh8dI7CoXERkVdLhfAAKFwegc35/9h76/gosyxvnM/u7O/d3Znd97c7Mzuy0zbd093TQncjDTRujQUNGgJJCBAkxN3dXYgnxJUQRQIhBvFA3N0qVZVyl+f5vn9UqqgINLTPDOdTn6Tqea6ce++533vuuXIYIglTJGGKxDyJVLUvRwawJdJxhnCKJRLKiUXeyQlSKUkciWySLaTyRXy5XBWdBEQkyZZImSIJUyRhiSQskVgkn7vtQQpwpPIptnCcKWSKJJL5kwO+nJjhCScYQr5MrjogqigyTyafZAqn2UKeTK5gSQ4IZTK2SMwQiZkiCUMkposkLImUK5WJyTk3NXw5Mc0Wjs8KeBLposPqixvsFRRzpkg+zJSod7dhlnSEKeVInuPg6UeBfsVHArDFklG6kMIVCYjFLQg5wJGRFLZU9pzRT0ySXKlMKR4SlkgskMoIpaBLAKZQMjYrpIvEouco1go2mGLJOENI5YpE5LMbwhWO2plKCWGKxGyxREoQpJr4TbAE4wwBVyqTKhMnABnAlcoUCQrkC1FLwZuQAIUnERAkAchJ8KQypkis+jDEEqZEypfJZSQpV3alUYaQwhXyZXL5zxXsnkG/ukLBIxGe3/jm10ZvHXR567DXu0d93j3m8/ZhrzcOef7hayur0Hwqb4HDwjn5nubwN+n5rDntfru+d/GJ59f0Q9BzBpTFI8ecg4vFQSVAec/sSevor7Ts1p5yOOeW3jik5hWLnEvren7l9jN2FU97lmRjis0/ZBK6/nzANoOA7QZ+G8+4WvqlcMQkCUgJorih74hpxDot57Unbc0Cs7up3AV8EIAYqO6iaFlHrjvttFnX1cQ/s3tGJFUWI6e69atTdtsv+m2/6P/1RZ9NWlY3KxoByIGHXdQzTslfnXb8Sst+n2FI6sM+PjHH8yCDe80vY42W0zot+4tuSbX9NKny+vva/hk9p7i1J6036bqdd09pHqYQJCkFYrLu7r3ovvmc15bz/lsuBG4yCF6j7XLCImiUBxnQNsm46Jm+Vstp3UnbMzZR5W1j8lc5APtiCs68/4ddNm9r+r51yPPNQ55vHvT800GPtzVsEosbRS87fHz/RABigsx42Lb3avCXJ+03aTvYRNwaZAsWdHCqmDSLvH3YKGiSKcJ8y4/i672mnqOmIRv1vLddCtxx0fdrfbewjIdskQwAU0bGlzRpXPH98qT9Bl0Pr5T7sxL5gvRJQECQ6ZUde6/4rjlhveOCj0dy5Th77hYVCeAad3vzef+tF/x3XPTbrO910jywrm2IBHgkmV/df9AoeK2Wwzotu9O20WXtYxIScsU5sr4ZXYfYNSfsNul6mAXlDTN4ANRHWj4QW/B4t4Fndc8MABpP4hVXvFHbbtt5ny0XfLde8NtoELLytLvT9VsUjkAK3G+bOGF1ffUJ+3Wnna75ZvRQeHPo/yPuon4ZmoP+BWwpoP/t3UZ/PuT62/0+/7zVY9kml//e5/XWEZ8/7bK2Ds2f4YmWSg0jLN6fNFx/+7VTTmXfz9AJ/d8lvQL0g5SQoHP5fLHSxxZJAuijMLbo+2pYJhW2MVMfj282CD1uHj7OFEKtAz9om1pzxvv3G/VLmruxVI6Puqnv7LU+6nXbJqnWNqHK6vr9xOImvgwASuravzppo++ZU9TJjL7TuVLT0tgnlcafpzGTQNsYe5u2zXHrmPxWZkb91D7D4JOWYdMiAgBbDvPIsg8P2lnHVtknPnKIr7AJL3zUMwqgY4T69Xm3PSbR6bXTpd3MC4ElKzTtSh/3ygGKQHTZPW6jrmd85URW/dQhs4j914K7Z0QAOkZp+6/47r0amNc0UdDB0rRMOHrNr2OcQgJ36npcE+5bx1faxD+ySW4+G1b3f7eYHzQNppPopbGOmgR+peMVdX+4qJ1xziNrx3mfqrbR79aAzxrCPv7Osk9N/2W79x8P+bx9xOftw15vHnL/836bxJJG4XzoJ9W+LDg5/bxXC2Kp5UyqBxDIZDSegK/U3RV/ix+1rjthd96/pLSHGXu/b7WWm1FQLl3w7FopKZBRNfSrjSZfnvEeZSy8ilTBRkDG7eWa9uf8ShySG+zjKx1jywprh3kyUgpEF9SvPm7vlFRR1MF0TG1YfsA46Eb+YsHOedDwxRHrK4FFZf2MmPLhtdqezpE3mUIJAB5B7rgUtM4gzjz2kUNitVXsQ7/0it4JFkGipL5r5WGT8143i7uYN5sphy3jNul7P+oaB9A5LdhrGHzAJDK7fiqhcnKTrpehRwKFJ1TnvLp3+oN9xh9oOt/uYABgicmcyj6bqNt28dXWCY/tMlr22Bf823pzp/gyLkE+6mds1PXQMI5IezyV1cDQNI86ZuI/xhH8DJFQCf3za1kG8GRyukDEEorzWibeO339v3bYh5U2zQolVIGYK5ERAEsqH2FxB2ZZk1yBqqlH2fw/H/H+3/0eudUD0tfQ/+MRCRACmWycxaXyhUqTDLngChsCGOfjuJFnWnGVlHz2ML+y/eNDtgXtHIV3sNSqls/3Gd+qfAplp53ginVcMt495LL8mFNxUxcWYAcgBpKKG1aftG9hyBUeaEWAmCABzIjl+p5ZJy1DqUr0CkrO1zbz6xqjqBdACiQVP9p11qZ1jKkwy9yq7fv4gHVJCwXAEENy0CrFwDsZSo9sIhIikiSB2Jy727Usy9sH5IAYGBZJvtZ3v+oWS5WT97ppXxw0iy2oU3Tlu0+HVp7yDMysAJBX9ni7rkNBbTsAOVBU37/qoEluTTMAMUHy5SRXTvIITMtgGl/3xWmvmu4ZARBf1v2JhknGw1aF25Y2imCvYaSFf7pcZQMjF355ycZTkFPS/WUfG+2xK6gb58yKJFSRhCqS0IRivtL3IUcqG2Vx++isIRaXJpQopi9siXScwZrkChQ3XUtI0IWSMQaLJhCp+qDKvkHjC6g8gfS5i3B42Nx9zCy0pL5bJR4AbEOSt+s4N4xQSUAIWMXcX3HCuW+arorZNE7bYhDy7nG/Dfr+o0yZWoIEQBKAHDD0SzxqFtrPFCrMO0JASIBQeAk18LaJKWOSAEARSa18YizcgxfojgTgFpZy0iy4a0agaGvbyJxd55xbR6cADDMka045Bpf0sgEZIAKEJEmSmBUR1mE3D172HOPKFZbA221THx91C0wtBeCX/uAjTdeS5n4AIiCptGn1EfP7XROqCcfILEfbMenTU14fa/nc6WQSSvsPT05y5CSXxLBYeswhZduViLZxFgCjgKxPj7s/GphWWBQbh9lfnnSMKGxdWlP+SWlp6Fenih7KR9qh/7PdIq28RfVwjM33SLi98YzTCk2rY6ZBhbWDPGLu+Z+PeP+vhkde9cBrrf9HILW79PGorW/9cUuroPRpBl/5cN79JyQwJMG6M86RN2vFag/LmgY/PWKfWksRAGIg9m7dmiOW95t6FW8lcsIl9tZJx2SLhEfrdb0LGjqwCPrZUrnT9YIdl/yaZ9gdY5T+aRpTMtd9qjrHN16MCC6oFxEYojJHZjk0OWYJQkDMs1/LAapI1j3FVzAmAm6UtX1+xK6sgw6gYYC2+Uq8Tey9ccps19j06CxHoXBKgbqOocKKJzS+UMEJFThoEqxnFz4skHnmtq8+4TBInSvrMFu23yrlrEMMCTBE8i6alC6ZSyTtQceXh8IJnRQAACAASURBVM0L6loXVO+DJ2OrjtsF5tZKARYBm9jqTTruo+y5SucBhqGl+y75jNDUvZN9q6k9CcxBv+Ehx4JeNoH5szY5MM4WeCaUbNG2X77fbMMZt6veaTWdk3KgqW/8tKnPviv+ibebSKBuaPaca8pePYfcslqVTqZYQ5cCtr4xxu6RTN5C10MqKmrsWaMXnPl4QBkRAHwSb23VcX3QPSkD2CRMIko36fsPUudca01xRZe90k65F5gkd2w85zXCVL8ckwBJAJiS4qBF3CWfnA4Ku2N0emCGwSfnVlyKajpXnbCtnORRhNKBGcYIWzArB4eQixfNWqaYwsFZsUCxrkDCKCBdw8CzY2KGBMqahz8/5pDSONU5Resep0xyhAr5Y0vJkoah0tpnQls3yv30pK9bfBEAPef4XaZJ/cppyihDuu6Ug0dGgwLN2DJ4xhcdtbweUNz/6SnP0g7GAn7kQHB22ZfHrPPrOxVP9puGHHLMneDPCT9TJt9pGKHrdYvz83LTAryUW/b5DhrlAFUoPeeR8t9fXVp5xmOvcdgHB23e2WOR9mhMTmKcw39XCf1L25Vf0/dCS43VJXUdv/rizHGL66M0nvpzAhBIZZNMdh+N+XCcs+KMp2tyTQ+NNUxnzfKEJEDhCc64pG2+HBl5b8D7VuumS5FW4UVs6VwOuRVPt5wPzG/uzX7cue6kbUFDO+ajGwFQBKJjluGfafkcdshbe9Zn7Wl3w6D8HjoXQOHjjg1XYtxudvvnNWtax++9FhmU1zApnt8VlMsJckBIEC0jE/75T9bpeJuH5Ck8KJY09rx92HOTUbKGSfQqLbdtl0IS7zbxJBKZ0nAvV3JS8HTmkyPWkTkVkyLCIOT+ujPuHOWy47QI+j7FmiahHBmpWBgUAe2TM1F3uzacDzPwTBtnPVuBIIBJgezgFe9T5kEzEhkAthzOyY/Xajn0zMwZBOiArm/R+jMuTwYpWNQgL1Cn5gVS++KcdH/ZZ6YrL6cF3e7PaprMeDyRXTNSP8AQEaQEsI++/Yetxp8ecdhvGrZK1/tXaw12XvKflGJWILaLLPinL/TXX4wq7GBciby/7LPzB03CukcXciUFbPxjTTwiZudBP6FYXR+mzU7RWbH3Wr7QiwgpaRuns8ZoDLZITAJPh2f2GQYdss+JKR90T6tfp+MVWtjIlZMABEBETuXei+5Vk3DK7t6k6zbGWELHrR/hfakbsuFC2FG71JVanmu0PfwzaqaEcgEQk/9og55neuuQWdQDDdNoTdvU5Ie9HBm55GKhHJgViWv6x+ySHn1+0vt6Qb2AhBgIy6l8e6/NYZeSrVciV51yOWAed7uVJlUu5KpOLcpI0if9/nsHXfIed/EJ8pBx0FmPWyoXfHwSG3XdroWVMWUkgNza4a06LuXtk3n1I5+ecC3tYBKA+ipGZQ9lxSl3++vFqgIfsQjfZZEypoT+GZF8lW7gbtN4lvRnt/T53Dt8VN8XQD+AG/c739Bw/fBU6J0pAQPwvzP6mz0em65EzUpkkwLRIuh/jf8/AC2FK30UpndaRW5VD1O4UM76RqfsA+JPmofst0p9c5/deh3v01aR523DMoofiUiSLSPDbnd9fNR1rbbz8mMOa/RC0mtGeDISQNc0+6hJkH38PSGQUd6w/oRNceNCrR8AhS/UNHTfrOvml9d8s4nqmlrz4UE7PccYoUSWVdn6zmGPL/XD9N1Tw281mwTnf7jnikP0bZZYzSKsVhymQGDsGrnyqPWKk27XS7uoIjmA0rr29/eZn3TKSK0eyXw8qeWQ/MFuw+SyBqkaHzKgspu24azrIZPQab54VkbqeBdvOe8nUO7aoMlgFFa+77LvFHtuHsAn4H49a/lB0081nXyzH1OEMlXFSYGsx+OfH7YqetwjUaZf2Di0fJ+hY1TBCJ0/xRJm1PR/quW3Qdeztnd8cZ28LPSrWWSck8qWrbb5P1sd/3P91f9/3YVfr9X99crj1zyT6DyRHAjLq74cWHB7UDIEJLbP/vsmy49P+FQMCAF0TDF3miX9apPFh1qBf9jn8ecjPrdaBhezJAcEAH/u9n9CyQIJoKlnXNfUXd8+cvulsD9qOG+8FK5nF6Vv7vOw/imASS7fIrL4k6Mea057rNR02HUt8k7PpEIrL++c2KnnnFfdRgWcM9o367pNsJeAuYq20a8NAg5cC44ubsttohqHFf15l6F3Zj1FJvdNufuJpsPmy5Fm4SXBeY1ajvHLD5gkFD6WLt78DwBoH5zQtwn56IDlxothObU9ArlcDPglFqw9aX81uDijbiqmrG/b5ZA1J+waB+jqNSAhkVBa9+l+E8vwUgaBaa5k/2Xfy0F3qEoDlRjYYeB3xqdkRkb20lj7DQN9Mh7KgFt1Q8uPOd/t4qg3mpyES3zhF1re1X3Tqiy8kh+8p2GVcK9piiUcmeXFFD15U8N569XrrIV7wX56WqD1L7ERbTH0W0Xf/uf11muuZXgWt0VXd9rndv9qp8evNpgMMvhTQsk7mj7zDT4/u5nO3ysR6vecqR1WIoHRaVpYaoFlcPqlkOI/H3TcZxxlHZbtEpFZWtPKIYiM+22fHLFzSavqm5W3T0tMQgvWHLe99bidLpaZhOSdtIrppkskQOLdljUnHPLrekmllq3IggAEMllD50DnKFUCEAAPCLjZ8Nl+44q2gcy63n/68pqOd+6sGADkgG3s7Y+OOFe0DS9ZCilBTMzyuif5LvF3PjjkFJzfBGCSzqlsG5nkzLm4G5kVaFwNOGSVOMSSqcp+t53ypZbL3st+zSNsAAwJcSng9lZ9b4HygkaqFNdCyvYa+Eyw5ywSYoKc5oh7ZkTB2RUf7Tf1zKplK53o8UjouKZrGEdRRRIo8ZHGEzpF3vz0iKOmXfpF/2Jd38J1F0O2XfBvHJzCfA3+RaD//NdOSfeXfWHx9omQI3aJOi7xes7R+g5hSQXVLJGUBARA+8xsTnOvRXLrFsuiX26z/8sx34KmGUVbFLeOfXDc5xfrbX+1xc47u0H4nM2RpJodSf00W8cIxTEwzjUi+7h90luHPY/YpTiH57gEJzV09AqksL6e/+Ux29jSp6McNAwyT9inbDgX2DrJGGULjlrFGYcWM4EZEvapLRt0PAZniWfGfuV6E5UjqnwyMDo75xtOCJz1zPjklHfT1KzXjdtv7jZ1SK5RIOuUQHTGOmLXRfdJydKKP0coHmeKGoc5591SPj9sUdo6JAH6ximP2wc5ckKxvfLRCHPVEXPLgFShUlYlBBlV9OiD/TYGHumjdB4AmkB2+FrApcA7VKUSIgK2X/Q97XOnlSG1DM4+ZRM1JIYIyK4e/OS4a2E7W+W0AUA/hbXfwNM4OF81xSaBIYZM1/HG8iMOp92yLwcWHjSPX2cQt98ynilZ0gvnT0lLuGVfEGIx9F8KyF22xvLNQx5fnvbecMZjs77vhivxu03iuinCcZ74nSO+/6vh+drW/2PSi43LCkOKYu2rV4q1ej5hBR1cQOEFc4on0DILPGQWSlW6guqicfca+Bj5J+S0jP1pm/H+a6E+adWuN2qO2yW/u89Cyymj8NEgV/hMlBW6pHi+4lDW0ffJPqO0OzX5T0f/sN8rIO+xKnxO/cS7h92zHzYvYJIrB1f+zAvSMFey3fjGbsMQ1bqx+sYBk8DMlWcDm8ZYAGRASePYmhMOh0zC2ifnVpNZctjE1azXdlaODpgU4qzHrUNGQWwxKZCTHDkkSp4lwCmH+I0XQ7qm2QBIoH2CueK4vV/uE/5clnNwxgeSH/QY+WfaXS+qGOfapFbs0Pfuo7DwfUH/x9f2O5d0sOVSQARIACkgA8RA2sOebRd83t91dcsF/32W8b/eaff+Md9bzXPQ/5Qq3GaWuexL6//R8I0r73+l3idXWkUA5DcNrLkYn1Y7CmXlNIyJ1p7xcoq5o1hBkgE1E9LPT7gGZtQEZ9T8acsVPe8Ct8T7DrHl20wS3z1gZxWcf7++a0GJhYBgvq8xv/ynfzrgUjM0FXWr5sPD1g9G5naLiICYwsbVp5wfj4jnrQaR4EkIPjF35xQBtE4J155ytoi6PyObE2ZVqYc5/EPXArTMA3hz25bI0JwHn+wzNg0umFSuy4iBU1aRp1zyJpQGHzaBjTruBuGPkh/T/rJdX9MyyinhoXvCA23H5D/tczjpnJlT1gBlFsl3Hq/VNM+tbFY9UYypUzKE59df8UnxTy9/NCE9aJ992i2TLft5G3yWpMXQbxNz5xfrzPdYpD3s5/TNSir72GnVk/n1E2wZRjmCd474/PE19P9gtARuKB+J5SRDIONKiGd+LpU6F6E8xNTHwwpNi5CMcoFSUic4/CNXvc7aRQmUnX9aINW2vn7W6Xpx28RRy6iDJsH7jAL2mYWs0PH5/S7blWc9A9Juz3KfGYsJYGBWFJn54OkQTQX9txoHPttrmF/VUjXE/FQr0D2pTBU+89HQewed8yqe7RoAIAJyqrrDcqqEyuJNi8nD9jm7LgfwSDxo7E8oaaRJ5hR4OXDBLXHr5eguuhDAzbqxL7W9zjlHjbKfHTfhk4i617XymHXb2Nw8vZ8p2mYYc8EtCcC9hp7AzJpx7rMB7IJnyjr94PYpJgAxEJVX+dlB00ejLFVlyoFxJremrZujHGinCWjap59zjOZKCHy71d35NLfMa5/TQ+ORyjUMRZEHGMIPjrr8+0azgLzaKSm6BbK391r/RdPzVgsNAFcqd06r/veNVv+6w/0XG203XEttnubimcX1GxhTzQYA5Ne0fn7CI6W8Q/W2ZpD7xXHXkKwqRUg5MCTFOm0Xx6i7scVNWnYxe42DNYwCdhmFva8V9D+77HZeCoy7Vb4gy+qOseCs+iH6s1Uop+Sqv2i6tIzT7jUNfnLQ8uZTmmJgkABhOTWrTzo2TYnUE+GIZIn5lTmVbSonyeMccvNZd6Pw+xMSZN57lF/xRKCcyQxxhV/ru110vi4EOFJJYNbDT486ud24x5lvgzD0Tdl6JbqHPrd40zHBXX3M1q+w+9ZTio5jtIZx4F7jIA3joNW6Ab/e5fSZlrdHbI6i1/AJGAXd3K3v0UthK+sZJNA5OlnfP6qSwjGeeO1ZD5fUOsHPbFM/XhL6Pzwd9tvtliroz68ffveA8xt77CLvdz4a5Tqm1Gw772sdkssniHGe6O0jvn/Q8MqrHnwN/T8ELQ39AICnQzOXPLOibtbT+UvOLkkSoAnhFplR3tChCsGWylyu3/rsoOmdbgoPkAB5tQOrNS2dorPFAAOYBWgAE7he1vXZSZ/MxiGp4mynDE8HJgan6BKga4qzco++vmP0uBgE0MuSn3XN2XbWYZjCmBGSeu6pW3XcW8bYMmBWDD33lA3nAlqGqQCG6dy67jGuSCIlSb/Usve36xU29IoAMXCzfuDjI452UUUEEJZW/O62i0n3uyWAGLhVP7JK08oh9i5HjsZh2kotn00mGQ8miH4OehiygVnxNEcsAlqmmBtO2dhGFNIAMRBT2vTXQ/bxpc0A4vMfvrPtYkRBnUKnfjRAW33C1jAonyaQkQAPsApO33zGboDFUa/t6qd9G49cSrrdrFDJo4tbPtN0jC+u/b4a1zHpwbKPjQ7ZZ/ZROQteNQww/7DH4d+3u8Q9nqwd5zqmP/63NZfePeqX1TwrBW7WDf9xl8PbB90Moys3myYv++zilZBiukCMOVPVXCHkQPvIzNMhivD5HsKf9I25ROfXdY8pfpIAhYfjFhF7DfwaRnkygAWEFXd/fMAq/1EvD2ABNGAWGCFhmda1Ui+ojQGFYkHjCmu7x8dnOQCyyhre3XrBI76YB0iB1gnmJj03bZc0Cl80zZNtP+el5ZjexyJkQMuUcL9hwAnzYCYBEUH2T9KfDlH4EpIrlFxxDP3yhH1lP4cE2EBoXt2nGkYplT084KKtz+qDhhV9VCnABMJKGj7ZZ5h5v0VIIq2m+629VmeCKuvY6GURvQxZH11ME8oAZFd1f3bMJaKwTgzMAvbXS1YfNq8ZpPEBJkAHaAADSHo0/ZcT/rkdIp5SPRriEPstbug5JfAkJNS65PWssu3aduVtYwCocngk3l+laVXVO/uzs/QvhP6l9IN7rWNvaLj86wq9hJJHiiAsGbzTqv/4tcUvt9q9fSLs/6wz+ssB25jix2KSHGPzf7vd6j82mGeWd72G/h+Onq0OqmkTGQ+bl/3nji+1vfunuS+IuPhJ5yT7oGn0am0/0+uFptcLvzoXqm0f2z1OU12ioBD3xOKaT/ZczX/8BIAc6J8l9p5zdAhOZslkAoIIz3mw8rjzKddchxuFR62T1pz2SCufM+k87hn++rzPlovhNoklp12TV590iS5pVpxyCcioWH7A9En/OIBBhkjHPmadtpvJ9WKT60WbzvlrO8R3T3FJoI8ye8I2ds0Zb4voAvOY4nW6AWdsI3snZySAnlPcsg+1lp+L/doiZ6dx0k7j+D2G4bYhWSyZjCeThWc/XHXS7ZxfybWw/DVa7pe9M6a4cgIYoXEMvFK/POVhHJ5vHV+88VzgIaPgllEqAAJgk+T+i47HrnlP8VSTEJDAFJNt5HVj7RkPi9jiK8F56057mgTlTrMlL7ek+81kHVW07PcndhtH91KYCxqLyieP2KX90xrTX3/t9Ll+zGdnI/+03+OXGyy98lprR2ZXa7kt+6ueYXApG4h/0POfm8z+5Qtd77S7XJFUAf0KMZEAWpahBwyDZjj8lxEMKJu+tKFj4xn3HVeireOLDIMLvjztaRycTxOKoVpbAtgkbBNqvjhiMcKYW0opre349KBldF45gBmu1Co8f8Ux5/O+WbZJxTsuB+2/Fvx4gKaYjKY9bF2r7XHU9oZ1QvE+86RNeh53m7oBMIRSm4CUg1f8u6YEAGq6hrdd8N9uEGqfWGAQXLha28siJGuayyWBuq6R3ZcDN1+KsIkrNPC/ueKUh01kiYBAH4238WLYL768svpS/E6LzB0mCV+bJGw5F5hYVAdgVgTT4Py1pz2vhubr+5d8ftTJP+UOWyJRrYgoPjkVne/sMilupalqqbaf9tFhR4ugjAU11j5GP2wUtOtKsHVCoa53/uqTLsHpZQKSIPE9TAq/X/oG6CeB/mmmT/Idp4jM5t4RUtnSbALp5W1GwXlnXdKNQ27mPu5ViBJTKPZMKHKJLXg6NP2zM279HdGS0N86Mn3VO+V6fg194TUb30AyoG1S4B5XcM7+uq5thM+N0p4ZHubLAgm09AyG38jtGp1UiMEMTx6YkHPzXjVPJiMBPpBV/vSKe+IZq1CrgOS7Tf1SNXvF0yGGfUSOts31iy7RORWtCjMKCdyp63QMTRmZmSVJyIA+qsAnseisbZSu3fWA5JJ+Kg9KkeuhC32TS/Rsw87ZR/gn3x6e5QPgkojPLzcPSDYLzjTxSzH1SzLxv2HumxCVUcSRSAGw5UgsrbvoGn/GOjwguXSQPpcggGGWMCjt7lnrMG2bSNeYW11TygP3gJAkozMLC+7X8tVMtAo2Rhli78RibevrenaRkTnlExwJ8I3+vV+KSOBuQ+dV7+Skksc0rmBBknKgcYTtEH9H1zXVIjw/r24ktaLbNjIv/1FPQz/F0i/OI+nukxE6gEmeNLq44ZpXbHJx9ezcgdu5lKRAVPbtkLQStnChhLyAfcVKQFXHhE1YlrZVuIFzVEx+5bRo4f4NEYl7TX2RaYUsvmK2gdbBcYewtIrmTkXikzxpTH6VvmPUWbtox4is9nGW6gIfMXC7odc84IaWVbipf/r9J4OKBSqeRJZ7tzokpWiSJVRw8niAaheWqW0Rou94PfpWNU1MQjk+1fZR7CNydKzCLrvExBTUMOQAME5neSUUWYblmAWmmfonm/rfMPFPvuJ2vbSyWcHVGFsclnnvrG2EnkNs9K0q1lL6eefgZEDSre4ptsqw0z/N8E8uftjcoV5viuI09E/bh2VqWYRedEtIL2tSWVZ/3tC/iMilfqo/VD+8sWTg1/QjEbngh0px+WaVVPVWfZ32Ba254NWCbWGyZ8+Vd9srIzxbhFjEFUk+u7pTtoiNJblaYjvafCafw9W8BOVqr1Ti/bzCqmKpc/hcHl5xPHhR91H7IcGLaClmnp0Me1l2lM1DkiQJkphf8KU5/CaBWbIalerLsyfzD4Mt5otcEEyViMqnozqHL95cSM5vxCUrZ/FNqXi+eKjnKFnq4c+KvsOlzS+mn9kQ9/dPpLLOSRKE+mz1RSvDz03sJZvv+cHIZ9m88HozlfMTVaSXzFflMmUh5Py4gveC++W/zVSAXBqFyJco19LZLVlH858tpbUpvFCR5AtdR6qCk89P6zlskyoB+YakF/9+TpwX1A/5PGBfnMEiYVrkul29vRWZ/o0i3StA/3Pa8HmP/0Yr5G+YnnWnF4i6Mujze9D3Yr14Xg6LkEj14DnXEj+HR4IkCfXEFjjqe0nx+15Kqpba91Jtyrnad/AbTsxh0lJDAak2KKvyXGJoeAGSPifNl6aXkdAFeX2Xml2Cu3njtRovC4MSajNVBdtqo5zy6MyC538r9INp/d87zSk+329v/Vulb66FRR38ZRN4aRkmvzGTJV4+XwldAP1qoRZrkovfqaCfnPPY+upC8h0l60UMv2pCwHdTnsiloZ/Es5p5JR5/iH73k3Zkdd3jRarOvFfk80dE8jX0/4A0B/0vqy78fdPL95vnBHuxnfyVeHhhUi/J6OJgL4mkSwwLBPntivZzgf4fjoj5xu2XryXFyPw9ohv5czWA/wPRK0L/dxXq76g+vIb+lye1ql6iypfSpOf9f/l8viMmfFt5mItHLhKqHwd4f4oJ6Hct5fPiLz1qLS0fL5P2yzLzmn5K+vGh/zti92uJeUlSq+qXabVvD/3fsU2+7fzjGfQT38sk5tWz/9G1kB9qgFOrvedC/2v6e6Nvgv7vbLZcFPsbklusxb2m+fTyMPc3UYVLN/VLWZPmhX2Fwn5Ppp2XHlaB5xXkFTn5TiPc8weOV+Di21Xd34Qg/qPRjw/9Lxvrtbg8h358DfcnoFeB/m+d+PcR/btB/yvSDwT93zKRl3muevuafm708gafxTNc8kfCoNfjgBr9XVTGy1tLCMXWn59Nkb/xDBnxjUX7eRTnH0KBeE0voOdCPzlflon5cq2U3e9q7iTV8lr8mcfKawLww1TGkq2oapofACFeHvrn8v9+i6wSMMXd7lLlZb8vUbffN/T/ZLL9Gvr/0Wkh9KsOKUhJksKXds4KOxjzPp104RhHzJcTiwXnW4ixDKALpAN04RhHIiZJKTDIEPXMCtlS+Wv/jt+eXrolxAQ5whDOiuULLlwiAJ5UPsYQ0AQS5TV8r6aqL+RIef7l1Q6/vGTQV5Q8EuAR5DhP0DjFKXpKL2imPx7ljPEEglc4VvbK7CiqT0J8T3m8ZN4/1tCiPC6wxCyNBEm87so/P3qu1j/LFztF3nxrl8m7Gjbv7jJ6b5fhe7uvvbf72jtbz2uZePeMTWORUL2qmCngITqj6PPd+mdtQmY4fAmwVc/1o/1mpY+6X9/+9pK0hFvNuT8vPNlEkgCGpllfn7VOudeifsuzIk5Ld7/2ZZukvOK5sOQ367NKeq5G+cpA9JIRnhNs4YFY5d9BKjci88Hhy27rjplt03HeetZp3Qnzw1c9wjMejM5yv/vGnSXZkZFkxxgz985j6RJa0/dE5ItOxs17/MLx95VP5z4Lv7SB7jXw/wxpDvoX62JUnuSqf/6yFdd+87X950dtV2harNC0XHHU6vMD187bBPZNzHz3vBUikpB7e8NRQwPXKCqXLwDeP+z0qw0mWRW9PzuHZj8TehX4VDu6uTTc9EywPtlvGl7cuuA1CQxPzUQl51Y1Pv276bcEQICs6508YhK294JbfH5V9yRrViSm8/kdY/SYgke7zrscNwt5Oj77DUX+Vqo0WyK75J15xi7yx9JpXn6WNj/a93Ry6ye5S+M1vTzNQf/iBqDypFeD7iz7xORkQAlNLqfI5VNy+bRcPiOXs+RyEUny5SSFI5hm83nAFF/SR2WNswUCQAJMcYUDVNYkRygi56RPDnAIjDB5vTOsfjpngiMSASQgBsY4oroJ5tNZvpAg2XLiwxM+v9rmkFU1NHfb7N/eAekfmJ5TH3ISLKFkdJY7KxAvqXPx5OQwjdU9ThmeYbDEcsUFhz2T7OXHnELujY1xxX1TtEEqky2RA5ABPJl8isWdFYolAFMoYgilTCk5TGP2TlAmmTzxcxghAaaEGJxh9IxTBih0mlAqV1sfYkuIfgq9d5JK5YsZUpLKE4nkckU6AhJjs+zuiZkRGosrU5iGICYIOk/IkhAsKdk/Te+bplGFUqnaUMYnMExjdY1ThqgMrgwygCGUTLO4UuWJewLgycgZFlckkwNoGZw+fNX3sk9uD0vGAkZYvEHqLENCCIERrujRBF/TJum8W/Ike+6KYKGSq4EZBkMkVR9CuXIMUxm9E5RROouvlh0JMMWywRlG9wRliDLLEEoU13x2TzP2W6ftMokaoDH5UoIpktL4YraUHJ6ZnWbxBATkAFMkG6DMdk3MDM7MKtqIAMQEOcPhc0lQeeK+aZqKE4VFVAKMM7g9E9T+afqssraVTTEH/QQgA6g8Uc8ktWeSNsMVEsr7tEmAKpD0TtN7JmemOQKJcubAE0upfDFbjimOoHeKOsbgKhxkTrH4fZPUUQZHsEibEMnl0ywuSyRRqRtiEhSOYFYgFMjkNJ6QKwdNIOmdpA7OMFhSvLbo/rS0pMGHgAL6g+8s+/Satn8JD2CTYJJgEuAQc15YO6fF+m5pmpaxUQ8Hjrnd/PNB591m8WmN1KLOqYOWie8fcT9gkZRT3S8gAGCKJ/LPa1qrH/LGfpcPTwbss0zJedTLk0hlQPq9Fg3TKLOoBzMCKR9QQH9m5eCCy2lfawcLaEFtCGRkTGHDp0edPW7cAMJ6ngAAIABJREFUeRaCBBTwJ5JGFdTtNY7afCFgv1GY7fXi7hkmCfRQOB8fdzsf1XQp6N4ew7Dtl0Jc4u9McwUk8GRo0sQtLuNeLYCEogqzoFtuaQ0nHW7suuR/zDKqoGlQpGa4UJiW5CT6Z5iOcff3m0TtuOi//WLgJf+ClgmOgpFBhsAh5u7m8367roSaRty2v1FjGlzQN0UHQBNJo4uajltHb78YcNg8zi+9isITABiZZbtGFzgnVfnkPN1vHPnVWa8LvvlPxudcD9L5wrCbNfuMIjed899p4O+XXjnClxU0T562CH4yQFUwJySRXTVw2SlyepbNlshsIu+csgyfEYIlI2Lute43jtxzNcgutjytZvKqX/bd7tH6aWKTtmPew1YZCZYcyffaDptGbDkfuPdapEVIftfkrGLlY5In9s2u32MYuscg8LBZVGRJI0MkASAHeihMu8hiDaPIbQYBuy4FmAbd7KLzWAThmXTnvWNeb+53vuaX2TQuTnk4cNEjwy/3yboTdpbBN4d5aJ1k20YU77sWvv1y8NYLfjaRxX10PgGM0PnnXePC73VZRJXtNgzddCHYOrJ4nCOQAXyZ7Naj/qOWMVsvhuwwCDbyy20YoMkwz38AAYiBik7KBbf0zef9N18I0HNNedw7LQJkQOMQ5Ypv9s7LYdsv+us6J9+qHeTLSAD3GjqvBRf63ey4HFC4zSB4n0ls4ZOhu23TV/3yt+h777wckls/Jpjv6muCwb3qneqbclslme3jdD2XlLQHTU9HKRZBOb65T2zjKndc9N94ztcpqXqc8+L7p1/TD0vfBP2rzFYYJLil17nfeOCW9MAt6aFTdHFd5zgJ1I2KVusE/Ncmow+Pee0wiVmhF/of2+1+r+H2hZbnjmthay9f/7fVl9br+LZOigggvbT+d1+de++g3V6L+DVXE/9zu93nxx0rOgYB+Kbc+f1Woz3miWNsoQD44Li3utavotfQr06La4MvJfxS7v9yhY5JYLp6IEWw7HsNX55yMouvKuzghtxqXnvcwj2mQEiSA3Thm3tt3zjkbnb9TuajCcuY8k/3m/rfKAJQ0T6w47R1YFoRAM/kot+uO7f9cnBCWf+dDvYpx5RVx+zrukcX8MDgCYxcwteftIooarvdwfYraH9f0+2iZ5KcBFMiNw7M+eyIWUBOQ9HT2WvBN9/ea71Kx//pGI0E/NMerjzh4JT0sLiNFXzr6UZtJ9vwbB6JXirzmHnIBwds9bzyMmrGPLIa391vc8n9Blcqk5LwSipZfsDEJrYsv2XWOfH+hzv1fdKq66ZlG7SsPaJv8QgCwDRPpGV/Q8smEkD5k/7dl0MKW4alBBGSdX/5IWvb6DuFLTNXAotWnXRffsD8bmuvBDDySbQPTp8WSso6GZ8fsbaOv3/zKTsw/+lmLVtzz0gZwBBLna4Xrjhu45/TeKeL65Jc8flR27CsMomcZIvlZ8x8d+g4hue3lLSzAwuefKRpbxpeOiOR32ud2HgtYc2FiILG0QEe/PO7frfBYJ9RhKF3akJhfRtFeMYybIeOffztjuIOjmdW3V92G7slV3MJsm+Gu+qk4/vH3K1jylKrRyxiy/+qYeYWfVMC1A2MfXXS5rx/UdYTVvSdnm1nHS45RjLFCj84pEoKGoZYG3VcDxgHp1aOxJcPfX3Re6e2+SBT2EXj7b3osfuSX2L5YG7d5BmnxBVH7XMruwBkVTx9S8NhrY6fR0plctXE9qsRnx9z3G8SEZBTe+Ph4KaLEV/p+gzT2fNaXyw3jyjequM0zZco5DOppHrFCfe73dMVnYMbz7p+dNTFOu5BZs2YYcS9N7Ybxtx6LPnhlj1e0zeRCvqfLc0pbCxUnuRqUOmyDfb/utPrv3c5/nanzW922Pxmp+2v1lyMzK0GUDcuXaUb9P+tNjCNrqTK0TAl/d8DXr9Yb6XtnEoHHk/PvrHD9L2Drhk1w2LgXm27mV9ifn2nBCjoYq+4EPfL1ecyq1oA+KSW/W6b+W6r1FG2SKDQ+rc7ZFcPv7b1vyyRACAlyMbu8ZCM+xVP+tTfKcDfOz5/9SmXtNpuupiQA7frWm9VNorkRB+V//Ze2+MuuYpOPMTinzIPO2sXIgcqOgZ3nrEPzCgF4JFc+MYGvYyqpwBkQDuN+ErbxTOuWGGZUXFBYbI9w+Pv1io9OPKI016ley/7MyR40DG5UssnIKtCEZIpx1G7Gx+f8m2ZYEzypOu1Xc1jq2dISAAuEFPyZNUJ+1qKrGeWvc/A4+vLAcN8yAEeYBZRtOW0XfcUrW1Wtk7X3zI4myUlSUAEuEWmu8XcHOIKTH1v7NZ3HeGJSaCpf2LlCafYsm4picjs8sMmAUzgfsfAGk0Lu+uFQoAEeljkzishG087PhmnSoCw7PuGrjG9s5you/0f7DUreNJLEcr4QE1rf969KjHwoL1v1WEL38yHYoAP8ADzqOLd+u7t49QhusA+MLG+Z1hRUeMi+X7rxN0mMTNCMUNOaLnd1LRNEgI8wCe37b1dRsl3mxQ12Do04RyW+qijF4AYmBLJ914L1bTLGOXJB2mCL0+5HHfOnhLJAEyJJSctQjWNvNhAQXPfB7uuhJe2jQmkMuDpwGR6cQWVLZhrD2XjWIXnf3rMpX6YAkAKPHzSd80xqLKX6ZHVuvKYXcMgTbH80Mfg7zGKOWkZISWQWd31X9usnJLKFa+Csst/95VOWNEThdknpKjz/QM2T0em1cWQAG63Dn15xDijrIEEqELpZde4E9YxdOBBa/+nGsbGYcUMEgRAIbHrss9F55gZnvB76wWv6RVJBf3qeqQC+qVXg28vW2XxxeVkj6xmj8x694w6j8w6t+Tyup5pAqgdl67SDfz3Ly/kt1FIYEokffOQ53/scI6+0y0GOmmstWc9/6ThEl7SSQJ8oIMhvtXU53aj/IB1yhsHPf75M534e3UAvNPKfrfdardV+ogK+pfS+l/Tc2jeLf3PTl0o7xJXLODXtA7sM3BffdzhqndG8r3muuEZJgCga4r90REHj+xWEQCAJpRe87hxwMiXBzzsHNxxxjEg/TYA5/ibuy94PBmZASAHRICWTai+Q/Qk+5mLVzkgAXhA0/BMfnVLZHa1VeS9lTqBGoYhdAmZcLdx5dnQ0pZRVXiX5IdrDaLqx+hlT4Y+OmJ3zKXAI7naL6k0MOX+Ne+MN7deji/v66azD17x0XOKlCvvTfdOK954wqZ9kp7XMvXeYbf0B43KWgABSAEhUFLX89khs/ynNKacCE4v26Tj3M/DjFBsH5RmHnRDADgl311zzKqme1wRcRY4bBWtZx8zyRNJgOCMu2beCUNsXsuUdN9l3zWa5hdcb8TfftI4TGGSEAJxD56+scXgvGeub1qNX+KdwMz6w+YxH319obC6CQAdaBiculXVHJFRZhNevOJs8A7jWKpQzJISp11yj1nHi0EKAM+sJ1+dcmoemoXSFk8Davsnb1Y0hWfcd466/Ymms6bjzSGObIDGX6vl7JHdqvAQz5DITH1SNS65M0H2UBnHjP0/P2ii65gYc+vR497xGdncGQWV1k8Ah81CD9hmjHKkqicApsQyLbd8DeMIgbJF+IBresNmbedRpjCjuvvPmj6J954oXmU+aP7ikHl+XSsAGZBcNfbRIfu63jnoVy3IDc2yT5kFXXCJkgIPuwa2nbYLyy4DcK+5d+Vhi/Bb5VCepThhHqBrGznBEeD1bP4nonkGHzXjsNLg84nhuaCixdHkwOMxyWqdgF+t1ns4MAmAJpK8dcj9v3Y5Zz8akQDddPaWC/7/q+ESfrtbCtx+OrHxasKf9jis1ffZ75j0V+3QXyzXib9XD8A7rez3O6z2WKUPs0X819D/TTTf1PNsVe8FM2fFq6bBKcvg9K+vBH1w0OlzLe+gwidCubyfwlmuaR9W2jsH/QKJkUfSASM/znzod4rNOXLNv3OKAUAGiIHzLtFHDH0G6Cwo+SEAhlQant+w5ULQej3/g8b+BgFZ6w3j9hiG0GQIyXv4yUm/+x0UFVd+WTWbrsTWj9HyqtvfP2D/1ZWQI+ZBx0y9j5l5n7L0NfJPvNPS10VlHjXyv+adIAEUuOWbVrTxpE37BD2zbuSDox65VS2qalERRSjdbhBwKex+B4t7zMjH3D9ZDIww2OZeCb5J+WOAlsvNY2YhMwK5ojI7GMSm86E+SbfFJPiArn14wI0SlkQKoHOC6RCZvfOK//uHHL846R6cWzslR0hJ+x+2GO40DNU08z9u7qtp5nfaLsTE+3p9Vz+DL/XLfrT1fNB6HZ8jpr7GQZlrLkTtNImjCsVMKXHaJe+YdYIIJB/wyGzZqus6QJ3zwTvF4bulV208F7hJz/ewsY9dRPYKba8jc9DPW3fKMaiwiwcAmBVLzf1S9xm4UkkCwDhH6hydu88o8GNNl78ecXFIfDDJFpCKzfSAor0OGAefcr81zifU62pGIjtsk3LcNkGoGCkACRBU0Lj2qHXHOD2jumO5dlB2dY8iSub9pnVHLQvr2wFIgZSqsY8P29X3Ti2ofBGJ67kP151xbWQRfjertms7dozTANxt6tl40ia2uEolP1pWQXq2kRPshd7hX9OPRt8E/R9fPRdyZ3E0OVAzKl2tE/gfq3SrBicAUEWStw55/Ncul7zaERnQQ2dtOe/7Rw3X6/eHhtj8I5Yxy1YZnwutHJaijcQepzvLPtSOv9+AOa3ferdVxghbxAc+OOH7y20OmdVDUhVPr0mN5s3O1BwMyQGuDBQ+WBLlBnY1B3KdI5MdUwwBMCpCbsPkPpvUd/aa9c5wBumCT4/ahZZ2K6CfzpcYuScdMFZC/1mngPQ7AFwTbm447Vw3SFFkxAYOGAXq20VNcQUqZmTAg46Jj/YaGgYX103K2cAMoBtWu+Vi4KSQSKts//CoZ3p1F5QcG0eUfK4b1jTOqO6a/PCQQ3IrXQxIADFAAR6P0iaF6KTMHr3me807XqL0ueqbWrjphHXrOLWsj/3REdfYolpVgnXd09llT1kCkYggXVPq1p4PiX/cv+6E9YMno3JgnMEx9Yhzjc2eIaHrkXfCInJWedAo9kH/WxquuXXdAApbxrfruj9o6ZcBneP05tEZCTApR37ztJZTyicHbcpHRUkVLR8dtCvuYSu2qMmBPrG8fniGJZWnVPW/f8jB4npRywTBBYSAhkPOhkvRFIGIKZVrueSesL0hBXiAe2bzVh3XQaoCz3Hjdv3be2ytYh+2U8EB+ICGzY2vLTIG2JIBGu+rUw5BBZ0KmGQooP+S6xRB9lH5LUPTYmAGKGtnnPPOfmefbcq9lgUyo20ftdM4fkjhQR7gypF1t7a8l6bre3uHgT9TqTWwAZPrFZvPuE5xhBmVbZ9pB2bXPIP+tfOh/xM16FeQIpnGwYktF0JMEp6edC0w9EpWPLzb3LPhhFVMUQWU0H/KMkDXNuI19P+EtMQyr2L2RuVJDYNL/2mF2XqjxKjSR9dLqyNLayJLa6KKq1Lu1gwzWHVTxGod//9YdUYB/XSR5J1Drr/e5XizdlgO9NJZW8/7/EnDJbp8+MkUbb2e779usrdMetQ5RnPPbnzjcMA/Lz8XXdYEwCet7PfbLfY8s/V7/cd2u6zqQeXs9DX2L0GLl3lFcrKodkjXJUPR89VOzwKAV0zOoas+1QNUxROXjMb3NCzbJ1j9dMHyo7bhpV1iAAro90g8aOzLBSo6B3dqOwSmlwLwTCn5zRo9j5T7AhIEkFYz/OEB6/iCxyI5yZcRzd0DgxPTPCDl4dBfvr6a9rBXsfUwt37o7UPu2y+HDswKO2a4Wy+HHrUI7hqjUcUoae79TNv7r1qBLRMMOl+6wyBgv1VaG4VHAqMCuV1k0c7znk9osm4a85iRzzXvOBX0+6UWbj5p1TI8Nc6DhnHoUdPQfjofwAxPctAwcPfl4DEGF0DtCPeTY86brt7QMIpgyQCAJ5a6hOecdYwUAn455V8cML1Z20eT4G5Lz3p9///e6ZhY0V9a27bzgqdX6gO+TC4DQnLrt5/3qO+fVNRw/O3mD/aZ3xvg1g1Prjtpd9YlbpwrBzA4K9J2TThuGjrK5vvkPP79Lqu8ul4AEuBWU88b++1X6wbNCMUcOXnWPXf31dBpgYwJeGQ0b9NxHqRyFYn7JN/53Xab/GYKADGQWNb1jobDXquMfqZ4iMZbf8ouuKBdAZNMsdTCL0XjsiuFREb1wHZthzstYwphSKvofO+AU1xpI4Chadqjjn4GTwAgNL/xr4ed0sqaSAVw32n6YOe5lNqx6IrBj/YZJZa2KCzud5+OLz/pfd49jQDSy598oe2fo4T+rPtN645aFNW3A5ABqVWjnyqhf5rFb+zsp7K4Ckmj8CXmkQ/f2mu37WpMZkWXIvq9pp6NJ6zjlNAvAbQs/fVswydfQ/9PR0vu8CEBULmiyx7py/56dtnHusveObDsnX3L3tm37B2NZW/s/M0ne+81Pm2jE8sPWv3TO9ur+4YBMITiP2y+9MvV+nmVnSTQT2WsO2bxm/UXw4uaZ4US5/i7/7b6wv9surr2tOPOS6Efa7os+/Ne2+giPgmfhFv/d8WpHZeCxll8MfDOLuN/+fxs5oM22TNeXpOKnm3bINX/A3wJYReSuezfVmhbBSyIQAKVT3v3nHPUuOznHJVjE5y9Xc/DLqqEK5H2TbP/skM/9Ga9YqCl80QGtkG79WxFQEVr7/oDl3zjcwB4JJe8vf3qlvPBxgG51sGZG7QcL7inTrL4AMYY4j2nrrgGRvNJsn2Kv1vfdf1Ja7vwXPuw7EueGWvOeKzSNK1q7QdQ0Ni3+5zboSs+1zxvnLGNW67lt9Yg+skYHUBuTdcWXVdNowCHyBxt28hVB666x9wUAL0U+n5dKwOHQEJp6/eKy1y151xjzwiAovrOnToOR40CXaKydWzCt591LawfUhxqoMtkZxwSfr/NzDuzUWU5zLhb/9VZjyYKu3eaesYyfIeOs6FnqpF36jHrhLf2Wm/U8d53wcshOncKEJEQAHWDdA0Dj/3nXZ2vZ1sHp+/Vd7YKzpmRgitHyu36r07ZnrCMdI7MPWIYtErTMv5WlQSo7pveqOO5XcfFJSrbLjTjrE3UxnNBH2mYDM4wpUBAVt2ft+pfcY1+2EX1uFH91WHDQQpLwduDp0Mrjztv0/N0j8lxCM0675Cw8rjDBh3v1jHqKI2zYt/FoKxHCoBmiSTXnCJ2nDJhg+yiMk4aeW8/Y+sQmeMcmXPAwPeiZ0r/DAdASELOmv2XHj3pBjDOIQy9M7ZqO5gFpFkEZW/RsrIKzqKSJEUmM/dP3XDcwtgnzTY0a9c5twPXgh53jwNIKa35SMMi+8GcrT+9pOqznbqFNc0ACCC1rPO9rfr13eMAbpU/2XH0Ukl5ncrud/Nx///5QGPvZb8p7tyhjXt1rSt360fn3obSRnn0ssOpa25TLM730Cde07eipTd3kgBXIiuseWITmWMfW+AYm+8Ye3PuE50bmHizn0Kd4BORWXddwpJGGEwC4MtkvskFbvH5naMUAqDzBXF5d72Tbj3uGQUwwuD5Zzy45Jt5LSCtpHmwqKHPISw5t+IJk0R1a7dXbPaN0hqWSCIFgtJLnGNy24enX5/4WETkIpO+ck0XkMjJ8uYu88DEvMoGQvVOafABUNM5Yh2eoW0fd9krISb/AU0MAFSOMDT1Vm33mGJtkC+RFZfXphQ+EANDM/SE7KLqp50E4JJwa4u+v3dmlXl4lo5jdFBqyQRbCoAAaHxpSFJm0YNqEUlKgJr2YcuwzDMO8WaBScWNfQ3Ds+Gp+Z1DY2IZKQGaRxieiXlO11PvP+m/HFy69WpM2/gsABnw8Gm/TUSatkPcFZ8bqXdr2VIAoHH5GYVlxRW1CryQA5VPOqIzbk3QmYql0cq2QeuwtDP2MaaByQ+aehUoTwBcEoHp1atO2DZO8WTKyuqnsY5YxOs6xrGlxBhTFJBa5BKZ+rhnoochC89/6BqTXVjbzgFyK+rjcssUJ+Pqe0adojPPOsZecIu9nltG4UoUI5AAKK7tMAm4cdYh3tgvubCmjSeHoiDlzf3mQWlnHWPNAxNLG3uqe6lh6UVTs1wSGKQKfBPz7EJSqnqnHraPxGeXzPKEiiYUkLjb1Gfsl6LjGGcVdKOqc+x+22hE9p0RGoMplERnFj7qHFGctxLK5Lcr61Py7whAyoGuiVn3hDxd57hzznEhqcWDNKaixcvqWtyjM3rHpxWtP8EQhGff1XOJPecaF5l3b4Y/d0cWTUjG5D8w8Ig/4xDnkZDfPkpVRG/tHw3PvN0xPKWQudaBkai0/O7xKUUrPBmaDk3On6CzCaCpbywwPqO1d0iuFNAJBjM0Ob+gsoFUnjsbmKDEpBc0dverjpLl3C7Pu1vJFi08fviafjRSQr+aBYF8iWtyFds5FEQou6X6W3L+TwUJAOn8V2K17wsSWfoQ+j/09v7nFn7BUwIASBIEqba5W/GXo2w4Yn4zyeenLlL7TgAu8flb9DybJmZJgKf2XL3JVCvOMoCrTE2VSNsIzTmq+EHPnPFkFtAwjTxqc2OUJVrAnlgtfVV0qXIbjKo4asdWwVWyoQozA+i53LjoGstWLXcCBHCneXSHjoueY3Rl76wqI1URevhwu3Fv0zGThNwSvuiZbHIBkVrWyhoGAXCUOaou7VTVAOaP1ariKPoOqRaAVPIgUVYvqZYROT8FVYIyte88QLVRZ95q0PyfAmUwVTqKV2KAs1R0qPGm+C6bz5J8AXskqd6FZYtSk82XGWVS/7hd+iekhdBPqi0dkvPuaiaVn2c7CBcI1oL7vchFP9UfzvuoDzzkC+H9Hxr6FxJJqlcGqdjV8WwEnz96kmpNsBgd5iWr9lEAhFNU5obj5nW9o4ujECSpzoY6ZilGHsXwM0hn770W8sVR88D/196Xh0V1pOubuTN3kplJfvfemThzn2SSyU3UxMTEJeqoxKi4JLgroOAGCkRlk1X2RZB9l31H2fdFEEEE2UFkFdmbtZvupvd9O+f7/dGA3XSD4JIYc96nnqdPV9Wp+qq+qrfq1JpSEp7/4IxT7NdHrJMrOgSIXMFQlGemhKBzBFOUU/rAQyTBt3JPOkRsOGF3v2NUDHIQA5S3DWjaxH93IeCsS7RrbHZ4bkVUfmVAarFRQNJeo+AfLgfFF9fxUbnYnz7M/MhmNTq9ghZVeGW6vkyXcAVpleY5zJCjRJ5zFfJkOsY5qoSFXplR2Txtg6JIsw+Igk/lrQuqzFIZV8gXXqxK/wJQfmiz9FFpHZwnnBejZGVvK60bGGQxh/oB5jSbLyHDpEEUVTX7RWePEKnKhYB51DPthKIAEoBHwyT7kDRdmxvn7cIvuUSl321kisSzvp4lx8I9gqfC8iQSa89IdSPvhJJHPEVnAADA0cSJt2uv+qXo24fp2YXq24cZ2IcausUGpZY8GiSJF4hHvgVQFrYS368EM8u3fkkoSd/ikzzjE6vYvxAWuKVL+YjLPHj5CsSo/3nwCrIJBeAIRHSOYKHThp8Vr9SRh0LPOKlzaGKSOT2Cgi6dK+YHggKIUSBQGWNTzGcekCkEGCEzOofxHTh87wSZyn26nHhRjdGL5fSLKup1qA9KZHh6KMDPlI8YnhcLUP9SFLKg/pT3COfrMSypucGwAOS/vkHpv7m2ytWyqLhetTqUfoXO9bGwl8WWsCWmRvq9pTjkM1+w8wc/96Ptl+bFxcSPyko63wu/dEIwKGDxd/MuiJdL/YvvBmJYAMqpX6ZfJu8XnXZ9rmxdtNYWvD5mgaAVBnwWEaMy6p+bwJdBVEqCXVAe5SpQiHixwb5CLJn6XyQgDD8r5qf+xSkLU+lrhUVUw4U1Nq+T7GsooOhCJ0fIvDX/TMDC18jIvPFyGFAmuhcttUpT85wBPKM9W3yw8+TS4pvkpceJ1f1fNTDqf6Ow1A+nZwcoszz0OahfTizlWPgrBF5J5/cVlNrnDHLpnzLzB4RRP4YlQJ76F6nMF9E5Vlh+drzMlmAOR7zawaEXDnaB7jW61JGnZzZR84sl97tYyLe1r3O9ka79lrdbVAdk/oEvDK8eyqlfdvH+7EYSRMZ+1vucbSaKmBPC4kvx7Ma/17vc/wrwCqn/xQN5rtcXGazchfUK1K/oZ0EoX7uiEKlC73vGB0b9yl/E8AtB+YAPHwE8W9RP4RE4otmNlESu+AmF30PlM0QIACAAAgAcU9hD4dNFyk9ZQwF4KDrBEQ1M8ae4YslcxwU+5BEBCuNc0QCNP8UVz27MEQPME9UbjZdX9VF0bn1bOGylveM5Ni9ZH/MLhAKI0dmNTnPLj9L35qOgZ/b5F3afmwOzuaSk/XmJuluCSBgwLIyn1C9bdChckWtk4UfbtE29E3kooABMFK6GFn6w2/CjPabJZS3Savd4jLr3J6/PfjC83zo4J9zZ0MYZPFO/tM9VdYNvFcDc7tBCY7gULt/QLWatmp5fTIYEQIyiw2RGTmVna//4Aul5MyvAy+z1zXx9yfeIny3CPBn78juk84SIomhbL660roslXX+PIs+kfhTmpf7543l+oEr3nb3ePXYMv1nM0+tH0dD81mUrD6teCu0mSQCgdYy10zhu2QaTZeuNzEPvUAQoApB2v/MjNbvlquYdY+T5IsDRhFrO6X/85qRLVNaSJKNwBVe8E7YcuxyUmA0A/WTaESO/zafc73USnvkuBpgh64XaQnQxLeXLnGJd+gj7U7AEkituUfqucexn+12CPC8vMLmAX02ACmNL8v+wJgbD4qHsvH4AALjT1v9XlUurtfzzHuIBIKOm54OjPr/bef33253UzKLb8VQUwDH69l93We82uznM4AEAF2CMwR0g0UfpHKZ4elQBRxdpuRe8vemSY2IZQwwDZCZuikkVobPn/IkAyFzhwBSjl0jDUZhU/vS4EAdFO2jc+gkajsHjIGj2w/7FkvYEAAAZl0lEQVT/3Xv1U82AhAdjDJ5QegwcG4FhGrufzBilcXiL2er/5gIFYIvEw1QWkc0XIagsyYpQIDM5DB5fmucSACKTO8UVSlBAUBCh6BSHR2RyCHQ2RySRMj1XLJlgcBkCkbRrzZMgJBaXQGdPsXg8CSK1pAvEeAZHgKAoCmIUOEIxkc4SyiyilABwURilMPomSINEKlWAzCodAFhiBEem90yQRikMvvzcEo0vHiHR+iaIgyQqjS9CAUQI2jfJ0rQIP2gZ3U1h8kRiBl9I4UvIfMkgmU6gswQIIgGY4olwJGrPBHGIRKPyxVI5uRIJmc1jSYDMFQ4SpoaIVLoQeXrmDwoTNFbvBHGASCHzREr3AE8PeLJ4/XhyH4FMZAtEMqfXTfGE/YSpXjwZz+RKRyYlAByhmMzmsVAgMLkDePI4ncMHEACM01h9ePI4nc1H555yKBBLSHSmNM+lEAOQmRwKV8QSA5HF5QIQWLw+AnmETGcIJXNnL37DhR/Dc2DexZ2tI6St5/3fU3Xwy20GAM/UqmXrzDaY5qzRifh4r0VxR78I4IRN+DubfrKMaySJUKZQElPWu9Mw8tMj11QMbrin1owxuTBN/bff2Wau7V1qdavtcw3vrzQ9rsZU91P50tmCmt4pXY/sr7T9Pj3usfa0l0lgQQeeggBM8cUOCdUHzaOS7j5sxtM2GkS+rery7g9enxxy97x1TwxA4vKCcho3nw/69Jj7d/o3Ios6yXyxYul/M6uEslRVdQ6uPeFi5Js1MsWVtWdKwCE42Tcuh8ITogBEjkTXMd48pIjCFwHAOItj4Z/qFFN+wSEqs/yRlLzudwzvvhgYc7tJGsL91l4z7xSroDxjj1tN/aMAgAAE5dTvNwluHZ5CAbgImlJcZ+oWRhY+VQFdKEoo6z5kGrrLwG/P5WCr8NJuwvQBkZMsjk9KxUGzCNWf/I+ZhyXe7aIIESnDdk/SbMNuHzULVZW+FZyHo7JIAolfav2KAzb/Oux62Tu7Z5KSUFJvEVFlEVW3TdfD3OfWKIPbSaKbBxccNL2xU99n7+UbNmHFODoHBXiMJ5l4JYUUdFpH3lMzCt52zt0uumyYwUUAeGIkq6b7hHXUjvPee41CjfzyWoYIYmTubJIQ4P4TvI5Lsqq+z/bznrruGTV9VOkds004qol/jupPPnsuBZ12TCpq6hFIxChAxcM+Q8/UGyU9hv4Fu/S81a/G5LRO3ekm6LunbtP1PGAcVNDQL5CfdRkn08yvRwel3+ch0xoeJDINnUJTq3oaxuG8S2JC5ZMrIYV7LvrvMfBziy8jcIUzjcebWcYxvFLMS/14Ft/Au2DZ10bGYcU0Meh45P9uvZlTwaBeQMFbn5+IuNfeK4TvDQLeWX8uuRFPAwjNqf3nXotPjrqpWcZv1PX72w5TI99MgQTFMcTa10ve2Wb+jx+d/60fpmYW9dkx9z9svGjqn0sSCIdYYjWjkPe2m+62TT/rV7rpfND/7Ta29E3moSiZL9Z0Slu+08Qt/nbT2NQGveA/qbq8u9fz4/2OXjdLmEKJU3zx/2zVX611fb9l/Dfanu9/d9ErtZ6h0G97M6uFslTdaXr87kbdYxbhgwTGrKW0e2sTlPTjBcf20UkUoOQhbsUh+xVHHAYobBSgoo/4by2H2Lt9JyxC9Z0j+AAiFAKzmpet0jp/PY0vQVEAl5jcI8aBUcWPt512iSiulwDwUfjxSuift1yOKmrlAhCFAl2bIGPXCIbkKW+WND75St3VJKI6t43ul9e6QeOqU1CyCEG5ItQiIGWLlqNXZlNhB+NaUuUGDduw/EcCBKXxBGct/XfruocVtRd2MK5ltKw5Ym3hF88CuNNO3WEQuPWn8KzGCZoYdYkv/quq7U6jSCOfjNj82h4iQ93Y84eLvmGFbYXtdOe0h18dsXGLyucDtIxNrjtqsVnbxTysOLV2zORG6Qd7zN1jCwGgomN0i46XrmdWQRsj6u7A9jNOJs7hRDpLNpsRgNbhya1ajofNY1JqRmPu9uy44KGm5zLO4HXhGfuNg3fqecaX92U1E885J204ciWvtlMMkF3ZvkHDca225/XUhriKwV2GYas1XI6YhQblNoeX9uy44LXXwHOULdfGiAHM/VJ36vt3TkwLEJ1zX0XDrKIXVz0Ba445bjzp4JJwL7lq2Dgwf+UB64D0GvFTJSNv5iwXhleGealfBBCY07Lsy4sa1+8UdDC3Xgj+SD2gZIjlnX7nz+vPGkY1xTWL1p72+1jVsGGCNCiETVpOy3eYxlaNCwAekiQr1D1XH3et7Z0cZCOnPEreWqe3yyjq4SgLAKLLn/yvmtO/9pmVtvfe7WOtOub6z4NOkTWPO4j00sf0G9nV+VWPhChK5Ik0XLKW77KwjyzkABQ8Hv/wR/tVWsHpjSQJQGnnxJdavh//aJPZMgIAxR2kLzQ8Vxxzaxudd9bhjcfQJCUopSz/QSeVI5zuDM7wQUF15zYNy7ymxyIAt/iSrT9FfrjPurwdz0TgemrzbgOvUbbY72a5yjlnnBCGaGyTwKJ/qDmqmUV2TdBIEjhmE2Phl0LkgYZliL5vEUGEdhN5W3R8V2l6mQbkEoSSdgp32wmLtNJm2fsY4gobPznolNRAIAkkQoDK9v680hquSFzSTvj6xLWQgk4eAB+ABXAltFRFx2uEyqYweY4BsQ86RwBADNA1xdOwjjpg7MUCmOQjF5zitZySpMeHOsWWvPudRfLMDYI9o5N2PpGPhikAIALoovEOmARrWwXTAR6OE9eoGes6RTIBEIB+FnrYOumUdagIIKm87QuN6wH5dWSOUAJQ29mXWVxJYbJkc5UpRlwj8/59wraFIJIe6ln+qP+SvW9T/7h/RtVXx1xKOycAAAGYYIoPGflr2KfiuEh+beeXB8xdU5oYAFwA3/yuT/ZbBWdW8wBEAImlHWvVHSue0KVamkVGdfc3mu4p5S0AwEZA+2qQvmPEKItbOYyuPe5o7pdGFUsAYJjJ3XEx5JR9rBBgEYuVMGBQgnkObUYBAPIf9v3nNisVi7zLEU1/22mmZpvRw4Hc+s6Vh223mWWcDev4+IjHAePgHhr79hP+v/bbL1e1dM9uSbjXGpDb9M3ZoPe3G4Vm3RvggZZHye/WXTAPz5dG0UmW7LNMfWv1ybh7Tf1MOGIe+fa6c+9tubTtQpB1bHV22+gAS4QA4DlCdZfs91Ut7SKLRAD3e0c/+cHiK23/kg4SAETdfvjH72zWnLlxLbkuoaItOL99labnsi9O3XnUL5uanyEHXx/MXvoxsx8CmT3Xd4LG33fexTW1YQIBDatgu+RH3+v7+yffw7F5GnY3TQMLhABVncPrta/ldzGr+oa07RP0A8vUjG/k1LZVj7JV9EMTSmoBwDG6QNUo+tEkI+3eo6OW0ZdCyg+YBLVRWbE1xK3aDgMkuSnYlsHx7ToeG9RtDT1TEu4+asaRpMM9vhl1/zzkqu+dF5JeFXiz2De58rjNrb9/Z9DUNwEANIAG3GR+bWtoZrV1SOGmE3YHTIMoAGSeWN8xUtshjgYAAI5RRatP+j3omZxNOwWFugF8bk1rSEa1+Y07m7VcNM0DqQCNo4QtmlaeCbelK4PIEtDzLtAwC6KK0I4xuvrVyLVHzPWcYqKLm+r6Jxio3BUoAEDg8E5ZBmhaBdDkb6chCZDzLolHryZMytwJYBNesFE3rGGMXlT/eM2BKzkPcSiAECC1gfiNun1Z6/T9AUUNfWuOORa1zu2m4OiImkmwuU8KT4I+GOJs1L6WVNwgBKjoF67XcEwseSi9ZmeSLdB0TFO/GiUADBieEwsd31Y/SP5aN/wf6iErz8QsW2dgFV3OA+ghMXdeDv+v/T6fnE9+b7eTfVQZUSi5VYf/6IDTezuvrtUN36gTuFkncIdx3EHzmJt36gc4qNb14v/coO8QUwQACMAAC446Zi1bqX7jdj0A1DzBGXinrNMJ/puax7Jvzf643fasV+EkVzTJE6u75CzfbWUfUSQCuN8z8skP5l+e8rvdRgSAgOzqZZutlh/wWnsmZKNO0Ba9wB0mcbsuh5a1jsrw/Ru4YWSR41fo09/pTDDyTNJ0LcjpE+zQ88xtGbYNz9dxiK7on9p8xj29fhQF6CfSD1jEOqQ0Jj1oP2TsX9ZDOWkV7pFcElretcs4tn5wCgAKWyY2nvPPbcNZh6RbB+flt05uPeuc3jmpH1xx1jmJIRaDvHhdeLZlwK29l3xWHnP76qRvSE49WyB0u1W5XO3ajou+J8w8Nc091M29TtoGXXSP7BwmUfmIT2arin6wio7XEXO/i16p3+l47zcNngIgccV6DpHaDnHSXr9DRN4WvbAm3PR9hGS2wP1mjYpe6DYdr6NWARd907ed89SwDKEANI4QtmvZBGfck/LmlAQMfAvUr/gTWGIA6CPTXaOyDxj7rzrm+vlxV9f4SiKXNztTjQJMsDgnrvied46kzVxKJc3QSY5Ey/LGaedEhkyS3ZLufXMqsHKAeLu++5v9RvefDAIAHyCtfnK9ul3143Fps1HU0LvmmGNhG1l24Y402OsJ+ft0XNonp65n1qroBbcOEwHgXi9/g6ZjVmWntOWYZAtOOmdoWEfN3pSHAcNSsRD14xhCbY87y7bY/Mf31/6mahtb0gAAAoBz17OX/dvuLVXfP3xnk17dJwQo72V+9KPNX/e53OyGVibUkiG8hpvSxO4hC/qZEi2PO8u+1jvjkSW9grp2XLj5Yvzba8+mVDbjWcL6IXLZELsYJw4tHzp3496f9rn/vx2WFR14PF+i4Zr3/m4ru2nqH/3kR6svTgXf6WECQPSd1rdV7NboJtxs43eyoWwcYhsE8bW0Ybr4DeR7GaDzzOyhAFwJTHJRqgBEcxe7owAQf7fre8Poi6F1R20S2ifIObVPNp1yuxLTvEPfu48pBACqALGNrdphFGkcWa3jFMUFsA7OPmCdcNw5U9czkyYEBADPgd2GQeZxNd8beCfeeUgSwz4j/5/CGr7VCQ4v7uHJSCRE0J4xYuv4lBBgTAR5LaRDtgnrjlhXPxkMv9u16mTQnT4yAAgARABPeFA7SqWKJcWNgyvVLCxiq5vwYhbAGICGY/pew0AiAIkn1nOIOuWcJJ3HcIjM26of3jxMlSYyubjxCzUz+8TKRwSUBUAA+OFKxEGTwCmAxhH8dq2rwWnl01fPS8DAt0DDzJ/MRwaIlCbcFAeAhEBhB03HK+ef3+vdftgne4MgiSc0cIo+YOw7NcPOBBY/q6Ktrodg4pe92yh8mD/tEwBMArI36oY04ZmFdY/X7jeq7B4AAJ6U+jVsa7rGpN5mqH9KVoVSp/ruiV1nXX0KGg/bxJneKKEJEBSgoo+3XtMh637HLPWfcE5TvxqJ9foxPDcWon4uCm7pjcs2mryl4rD5fMiD7um9VNdTqt/b4/7Wdrd/7HdvHJoEgFEOulPP5y8qpsYxjdUDhKTqjvXngk7YJfcR+TiW5LRnye83GX183Mc1vbGqbdAo7M4ftlpsPuvdMkq8+4SyQz9og7ZHfFVHJ5GR2T72/gHX/95lXdtLJPAlmq7Zy3db2kcWigGqe0dXHbL94JDH1diKJzhCzRBlk27YX7aaOtyqqBuY9Mtt2a4fesopbWiKtUCKfqVQtk8IUTxArQ03qeeWGpRRN8mYywkoQBdZoKLvt+KIk0V4BYEnwtEEq9VdPlX3NPTNpEsk0qGMvGbcx3stNl0I9U6pAIDEsocfqjn930HnyKIamOnzWoRkrNHyXXncpXEQjwAYBRR8rum16pDdI7xAAkBlcxsf949NMQQSNCLj/i7963XDFKkMPllV6w+blbY8bppgrdd2u+SdPM4UogA4Bv+0c/JB89h+Oicqr3rFjxZ57RQA4AGkPOj8aI/JPuPQCQToIuTStfgfTcP6mBIAcIjM26Yf2oyjAgAC4BqeuXLv5btPCADABEio7vhgt/G+i55UgKZR/HYt65C0MilvUiTwk2+exhU/FkBCaeMOPb/8hulBwuQHPZ//cCmjtkcEMDJJftjdRxOIeRIkJr9u1QGz9AacNJdu5FR+s/9yfm133L3uzw4538hvljYVNb0TGzVtDPxy8Xw070H7uv2GUuoXAKTX4zdo2NR2jUn1WFjfu+aYw+02MgpAojHqOvoINKbUiScBPbekL7UD1mt7FTT1SrP9fh93g4Z9VkW7NAkEtuCkc6rG1YjZG4MxYFgqnnFef3ply9vrdJZ9cuKEbRyJPf19efvh2GeHnJat0Np1MXSAxAAAIUBe3WMVnevvfqv79VHbD7Yb/F1F38I/k8lHh+l8DZv4P2/U2XjO51ttt49VL72z7vQ/91nGl3byAYYoPEPPlOVbdD7cYbjt9LV/7Tb8cM8V48BChggh8YTHLCPf23DqakAyAtBHoh83C33r67O//+KooXscBeDW/d41h63+e/OF1Ucd/r5V9+Pv9bwSS6hsxerwq1/jo4z6FS5nBMi/37jsLxu2aVr1Ksx1IwBCgNO2IW99ui+yqE0IwAVU1cD3T9+eTavomr0lvGuCtO6w6Yp9pnfb8QBQ3T3+2X6rr49YNvSMwcxcQs6Dzg+/N9h+3lvaysaXdv/PxrMHL3lSxCIAqG3t3XbYIC73PgA09eFVz7v8oHf9enS2bVj2Hn0Pu+CUCRpLCBBVULdV3fKUdahLVI62ReDGYxahuTVMEdIygN9xzvV7neuuUTl2QVkGrokq2g7fHrfpwDPFAIHJZR/vvHjmaljPOMEpPHODplPzwKRUsIpH/Sonbfb+5O8ak3M1KOPk1SiVM06bjhrjBfBwaOxbtQv+CbnSNNLEoOccf/C8HU0g7homHjML2H3OyTk80ykqR83A7aJL9DCFhgAEx6btOnq+c4QCAAS2UM818TttF/vgLCv/1O2nXeyCMtliGKHzTPyzVLTszX1vOYZn79FxOXzZs2FoEgXIKK1bqaJR2fEEAEQAaVX9q3frVLcOSNVRUNWxQlX/dvMoABSU16zfp5tdVj+rrMTSlnc3nTto6DdEZgKABKCye2r1Pv300obpsSYW77hF6KHLHqIXLloYfrOYl/qlY5p9BLLPzdtmATeL6rtm7fFMYXjOfeugm9mV7UyBeNa+qnPYNa5Q3yPZ2C8tvrhukisBACpPlFLW6Bmfe69zNLu229An2dQvNetBx+wFehN0XnxRnal/uu61FBP/1NiiGgIHBQCWUJR6t8EtMqO0oU0MwAeo7MCZBmVd8ryVXtbARkEEUP5owC4iS+96inFAWkpZI0s8346cN3sQCAAABegewVv6xcXkVZCZ3DlNhXRy8l5zp0dESg+eigIIUMh50OadkDdBezq0TeMJ0+88iMgsnWSLUYBJtiA6vyqpsJLGE6Ez1E+gc0LTijPutzCFEgRggMzxT8wrrW/noigC0Dc26RZxq7KtR7pZr6FvwvZGyhn7qAvOUaGZZRNMnlQYPkBhbYepX+Ip+2gj74TcqkfSFlsMUNLccyUg9bRDtGVQ4t2W3uZBUsDNgl4CDQXonaC4xeZZ+8W1D41UtPaEZ5WNU5nSBS5igMK6LiOfW6fsY6yCbt191FfbPRKakk/gwRiNEZmSV9fWLW1BOQjkVbakFpSxBSIA6BghukRlnrKPOu8a7X0zf4TKAwAhQFlts09k4iiFIy09Y3RRQPLtC86R5x2jo7LvEVjT3SACmx+ZU37hWvRph+hrMTnd4zSp/87B0aD4tEEiWbpZoX2YFHIze4QwJZWhZ4QQmJTbg6ciAC09A443EhufDM1qAUdhB6YWl9R38JHpajhIZofcyu8cHEUBUBQYQlHK3fpbxVVzLp3HgGHxWIj65/CodBEyIm+PKDywAXgzNoqkKwAQzrjKdmaFAPQZJ1ThRdHMXwHALEfMemDNWMI8p7/82nv9ilD2HfDU5unzzJOUgGbtJMoaQ9kQ5uhu1gmZ38+chTGzTigAC0AwG87TFWQgAWDMKB1kZlDFAEz5BM4pDxKZV6TUL3UVKrwolEk4Il+qURkn5kyhBfkSLpE/rZYHwJHPE6m9AIAlk0US+aAQpaqRnYKf+QvyEiIKdUGagbIeMGB4PixE/dMPKCAwfX02KlPh556eNeNTCkSmKM/6nDWIQgWQXVMxp56g8q4AgMyMd8jyy5vG7gtCaXpRxb09Cv5kF4HPF8h8+T/HEqaLBIoCOpee5EWafZi9hF1R6YoCKJYWWXnQuWNeTxM+p7DNV6hgrpM0SCXeZKRCAVC50os+FU8xE+bL6iW5AijZryUnKwYMS4cc9SucxSvTQ4M5j8rwWyPg1xMLU8JLJAzZFuDnh2K0z520JSTkl0qsQqRYXcPwYlhgmhfBChcGDBgwvJGYpn5lfQiM9zFgwIDhzcQC1I8BAwYMGN5MTFM/NriDAQMGDL8dTFM/i4cOjZL7hsn9w5S+YUrfMGVgmCJ97pd5ljX9yiwX8PNM/0vy3Ld0z69Ukv6le36lkvS9ZpJgqsdUj6n+NVG9HPXj8LyEtHuRNysik6sjkqsjkqsjk6tln6Nk/ip6mM/MCWRh/0vyHLF0z69UksjXTJKI10wSTPWY6jHVvyaql6P+3hF+UHSxV2iJZ/hdr4iyaRM+/eAdUeYTUeY9a48ZzGAGM5j5dRo56h8c50YllQbH3Q1OKL8RP21C4spmnzGDGcxgBjNvgJGjfgYf6R/nPBkTPBkT9YxiBjOYwQxm3kwjR/0YMGDAgOG3A4z6MWDAgOE3h/8PY50d40UPvzwAAAAASUVORK5CYII=">
          <a:extLst>
            <a:ext uri="{FF2B5EF4-FFF2-40B4-BE49-F238E27FC236}">
              <a16:creationId xmlns:a16="http://schemas.microsoft.com/office/drawing/2014/main" id="{3A4E7CB2-2F54-44D7-BBE0-FCB1717AB7EB}"/>
            </a:ext>
          </a:extLst>
        </xdr:cNvPr>
        <xdr:cNvSpPr>
          <a:spLocks noChangeAspect="1" noChangeArrowheads="1"/>
        </xdr:cNvSpPr>
      </xdr:nvSpPr>
      <xdr:spPr bwMode="auto">
        <a:xfrm>
          <a:off x="0" y="9304020"/>
          <a:ext cx="36576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0</xdr:colOff>
      <xdr:row>47</xdr:row>
      <xdr:rowOff>53340</xdr:rowOff>
    </xdr:to>
    <xdr:sp macro="" textlink="">
      <xdr:nvSpPr>
        <xdr:cNvPr id="4" name="AutoShape 8" descr="mailbox://D:/EMAIL%20-%20SEATRANS/agency.seatrans/Drafts?number=217096&amp;part=1.2">
          <a:extLst>
            <a:ext uri="{FF2B5EF4-FFF2-40B4-BE49-F238E27FC236}">
              <a16:creationId xmlns:a16="http://schemas.microsoft.com/office/drawing/2014/main" id="{36AA77B8-C968-43EB-94E8-7CE43D011CE8}"/>
            </a:ext>
          </a:extLst>
        </xdr:cNvPr>
        <xdr:cNvSpPr>
          <a:spLocks noChangeAspect="1" noChangeArrowheads="1"/>
        </xdr:cNvSpPr>
      </xdr:nvSpPr>
      <xdr:spPr bwMode="auto">
        <a:xfrm>
          <a:off x="0" y="8930640"/>
          <a:ext cx="365760" cy="53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49</xdr:row>
      <xdr:rowOff>60960</xdr:rowOff>
    </xdr:to>
    <xdr:sp macro="" textlink="">
      <xdr:nvSpPr>
        <xdr:cNvPr id="5" name="AutoShape 5" descr="data:image/png;base64,iVBORw0KGgoAAAANSUhEUgAAAf4AAADVCAIAAAA5EQUzAAAgAElEQVR4nOydd1wU19rHz+yCvUVNT24Sb8q9aSY2lLJ1ZsGKvSZq7L2g0stSlu27INJELGDBitgVBQQsqAiCgNJ7751tz/vHAtItMbne9873cz7LMOWcM2dmfvPMcxoCEhISEpL/MdB/OgMkJCQkJH83rdKfkqPwOBgq9g2X+EVL/CK1QewXKToQKT7QYblt018RpH6R0tc8RHxAm8PbkgMREr/bEr9I0YEI0YGIvy6TZCADGcjwXx06Sf+z7Ka9B66JvK+LfG+JfG+JfEO1Qbg/VLS/fflm+3qR780OC6+yHNpnuNnjPmLfW2Lfm2356ZS62DdU3GG5fb1wf6hwf6jY96b45Tl56fLrntpfF8krRvjuRPL/uHz+5lMjy+fdObX/J+XTSfrT8xr8j970PHLLMzDcMzB8X0CYZ2C4Z2CYZ+Atz0Dt8lsPL4/cO+C2d0CEZ8Dt7pu8AsO9A1qDVw8HhnsH/BV5JgMZyECG/+7QSfqrG9TPM0uT0suTMyqTMyuSM8qTMyqTMyqSMsqTMiq0y8kZ5ck9LJe37dzbcsedtf/2HUmHkF6ZnF7ZIcLOB6b3mKs+ctJTJG/t1P7SSN7iqf3Xlc/ffGovjeRvvvTvWvmQj8a7Uz5veGqdpF8DGgDQdAtqAHVP68lABjKQgQz/jaGz9GvUbSvbN72D9HgKHTeRkJCQkLycv71x51vV5856rwFQv83YSUhISP6f0pf0azRv147WtP+8rV01nT5VSMOfhISE5JX426x+TVutQa+btb9NKk1RRY1C3dfOPUWt6c3gJ18IJCQkJF34O6W/q3umur4xKjblUVqBEgAA1AAqgMyyllNX79Q3NwNAk1JVXlP/UuFWdU6mi9KT0k9CQkLShf/YQA5qgLKa+pO3Hq2yOyA/frWiSQEAKoDkkoY1lvLCqkYAyKusPnUlorlPB75W1lNy8q9FPSiqbnyxioSEhISkF/4G6W81u5taFPEpGYfPXTsUEv6stFm7QQFgu+/cl8z1vGMRdSo1AOQ2NrJ/23Py5hMlwNOC4u2Oe7OKazt5f1p9QxrQtJr4Gfkle49dd/QJ8T4ZVlZXD6T4k5CQkPTJ3yf9DS3K+OdZXmduLrH0M93u7nMuvEqpAYD00lr91ZL3cctz99JbAMpVqj9s903bIEyqhsTSit/3SM/eetzSoe2OqrVK94X0Hzh769D12NSy5q0uPqeuRTUpVaT0k5CQkPRBJ+nv5hZ/my3otccoAZ5klrv4hTB+524SBDwvbQCA3X5hgw13Ga2RxZe1NAEcvZHwMX3r+n0RcbWwUXBqE/+wAiA+t1B65PKT/Cp1Z+c+AAi8g5z9zpc1tdx+krbJxi0hu+ANskdCQkLyv8NLpb9LS5uXNNTpkcbm5qLSivqWF4qtBjgT83zcUpepm6W3U6uuZjV8v0xKGb9pteRyiRJyG9VT1nqPIOxWyK8t4J77fqHTpeSys0/SR01eQ2ySn76XeSU250zoQ2Vbhu4nZV2+n1zW3FLSoNli7xGTmvV6ZUBCQkLyP8ZLHT7dVf6VdL9jn4BmhSIpPffM1Wiez0lR4LWo1Jp6AAA4eDP5Hxyzn35387xbg1uF6NDshrId1souPaiEI7HFozg2/YwsP5wjGcjmfr/mAG3nwX4TNgybvGnCHx7fzXVayj0RW6R6XlRb09SiTalMBQFXY6/dT6xpata+oB4+zdwbeEF6KDizrJHs60VCQkLSzt/RwkcDUN3YnJSZdzoyYZ7FwbHzuUttDx64HJutgE2eN5CexZdLfL9deXCAiQTRXfszufrbAi1OPP5dHj18phQxXTFcjCbbD5sh3340gXcxkWN1afQsyadz+PSN+3iHQgtqWwCgsAEsvK5tEAWnl7e2FErNLz0f8eRizFOngzfdjt1oVpP+fxISEpJW/pT0v7DsX+b/b994M6Fg4lJn9PO6T2c4L3IJloWXT9hyHE20oOICHWMZhZBgTD4ysH9vhuSbVQGDZ7ojXIIIOWKJBk53ny+9c/CxUh6l0tsV8v1q/1m2wV5XHjYCRKRVLHQ4PYxp9flMrs/5B41KtRrg1MUw/9PXqwBii+rt3Y83qlR95Y+EhITkf4m3ZPW3SX/3sR/a12j/qAGOR6Z+PV+C9MwxmtNPG46yba+Omr0PMYQYIcMIGYZLMUKGGELE5L9nKtNlcHWYzlQ2D2PyBnN43y3z/nnNkVGmstGzJJO3HNvsHbZBdObH32U6DC6iuaDJ5n7Xk5oBFADP8ysSMsuLG1uOXos5FxavfMuDUpCQkJD8F/N2HT7qVxlATaEB2dmYj6a7ILoLYvJGzPYYOFWOMUUYLqPgMoyQIrYY0QUjZ8m45zLcrmSZWh77ZJr9YLaDLssRGdkjQ0eMKUAMV12263szJANYDsjQnsISUtiiIbhDSGJBqVJzL7mgSg359eB57LLY70xZQ/NbPU0SEhKS/27eXPrbrWg1gLJbg8se91cCNADUgCaqoJljdQExXTFcglj8fmzXMcsPj5rrSyWkQ2a6j5jlNojgjWDtWe8aWArwsLje6Wz6Yun9b9ccx1hCCiGmsgW6bBcdpiOicRHDlYJLKISYwuCaOl+x97/mffK6s2dQRELeydDHUYl5hZU1GgDS1U9CQkLSzhtKv7YJTYtardBoyho0FyKfZlU1qnp3+LcAVClVjwrrHY89pG32HbPEbcQsdwouoeLCfyzxnecaJgwt+edyf2To8uECT5vz+XtvlmwWndzm7JNUBfKrmV/Ol3y0wHOIqReGS6hM549NXadZHJ1pcfjL2S4D2E4UlhBj8qn6u60CHqaU1JZWVMelF1mL/XyOXqhTdh/Uh4SEhOR/nT/l8Im4HxcQHBaXXzt9nUtgWOqT7IpGVSeHj3aohoL6ljN3s3/nBnw333k4xwmjOyOaALElFI5MhxAyrK9t3v9optWx92eJqCxhf9zlu6XuTifiEspqy+sanhTXTNnojwxsEVOAcCliuo7gODqfiCyqayqpa/K+8niuw4WfVx0YSXBH0badiH6mTVcBUFhVXdXQqCR1n4SEhKQbf0r6z4fFzNnIC4rJm7rdS3wuaY2dZ0FNbftWDUBpk+J0TC57u/8ojsNANhejO2BMHoUQt9boEjKMkA40Ef600sP7Ts5CWXR/YznGElBp9qMI223yYDVAYmHFV3P5FKYLRkgwXIz0bWeYH00rb9Emce1+4qFriddT6p0Dbq+w9n2UWdCedPsCOXInCQkJSRf+lK+/tFE1bbPsN9HN+c6X59uccD8dWalQatrc+o9yytfyz34w1ZbKdGq12XGpjomb7lR3hMsQLkFsMSJkiMl/b6rzGu+H36w4gDFcKYQEY/I+mS05EJENAFlV9bOtjukYWiA6l8Jw/nHNoTPxJdCm5qXVDSV1zS0AjzOLr0QlFrf2FeuaT1L6SUhISDryp6x+NcD0nT46NNuPZwk27QtPrahv0Wg0AA0aOPsoa/wK+QCGHYXpTMFFFELabulTCKmOsVSXI6GwRIjOR0z+J0v8R8/xoLKFFEKC2KJBU8W/y29H5pRmllXUA4Q9LSY2u48y4Q7FHVe6h97MLk4uralVarT1DQoANUBFXWNds+K1h5ggISEh+Z/kT0l/CwBjszfSsxnAtFvBvyw7cq1KoahRw4HQZ1/NddGh22O4CCNkFEKCdZB+jC3UZTmP33h0If+Kwa5To+f76hIyxBZjuAzDZQgXj5zrNXHT0S84Zkt28mtBowEo0YBPaDpn675vp+/+lti4cKfU90x0cm55RlFlUVWdQqNpUZPt9klISEhelT8l/UVNoLfWG02xG2XiPGW5UHwwuFwDXjcyPphqT2VwKYSYQkgwXIKxpRRca+/LEFuEGXE/NeWLL6XFFJR5hD2bsPUkYvAQS0xpbdcvo3KkFJbrICPzFXb76wDy65rTy2vKW9QlGjgR/sRcFrDF1c9M6O988LIo8FZ8buWjtIL0orK2YfzJVwAJCQnJS3gT6dcAqADUAOdjS75cIKMYWG/yCEssVTcBXHqS+9V8PoXhRMElGCHDCAlGtOk+R0ZlC3Xo3EkbfWSXk47eztjsfJCxgsvY5P79qv39p8oxthTD5dovA8QUjjKVya5nBT/JXS+6OHv3fgvfG8GxuQnlTcUANQAFKtjmfVnvj722ATF2PhcfPs8C0ttDQkJC8mq8ifSrAZ4Vlh8OizPY4Eml2480cb6fUwUAT0rqjDZ46NLtMVzS0bnf3pgHGVrrb/S+kV5xOTbNyTPo9K0HiXm1ZQAWx+IGT5MimgsyckEsEUbIEFP80UKfTYee/mOOAJtijgys0RTzoSw7fPdph5OJB6JTNh2I/nCOHNHs0fjtc80PpJXWACn9JCQkJK/GGzp8rkbFzlzvbLDWfeR04Ucz+Sll1UqA7R43BjNtqSx+N9GXI0KOaC5fzhGcup9aptBklTYqALQD7j/Iqfz1NxH6ZeP7Jo4/rvT7cL4nxpFgHPkAjlDXYJfOxK1D2bYjjZ0HMWzQJDM0cafulF3UyTspBtYUtoCCS6iGdvaHw6ubVfCfl/4+0teQDU1JSEjeHd5Q+suq6xMyS8LTW35a6dPfyDoqqy6pXPXtQiFGd6HiEgouo3Dk7bpPwd0wXIr07TbILyvaYtBKYH5N0/w93h+zd0/d5S87efvy0zLGrtMUtgAxXAayuIytfhtlQY6Hr4uDbtsduPyH8OTPK7106bZUtisFF1NxKWK4jlniEfo0H3rU1L9VafuexEbdFjSk/JOQkPzHefOBHADg2pOirxfKMEP7te53t3rfHzFNhFgibW0twrUOH6lW+hFdOHK2p/P5Z4+zq89FJVy6m1xar6ioqeX5nJuzzU0WFJ5RCwBQDvDrKk+kZ/U+x26n960nJUpFh+SaAEITy6daBCCaI8JFiClENJd/L/e9+bSXGRl7Vdk3nH/mZUXSh6q/2EpKPwkJyX+cN5d+DcD+CzGfzuQhuusAjui9mXJdjgRpK2kJKcKlGCHFCAlGyDFCjjFEH8z3pVlcMth6ZIT+hmX2h3Jrmx+lZHkFno/LKNbGqQZ4lF37xUy70cb2wqCoGk3ryhcGMwAABMfmfDBTPIAjHDnbvR8uGMFxPnMnqWvOuue10/9vYdbJnguFhISE5L+BP2X1X7yX9s1CCaK5IlyKWKL2xvsdTH7tO0BGIWRUlgBN2oN+WvUpa0vgrTgFQGFlndao1477owQ4dvkubbn93gv3Gjuk0oXQpIIPpjmN23BssShqpInjmPmiG/HZrbnSaDoKfS9mdmfzXNNtzRtDSj8JCcl/CW8o/VozPKMS9NZ4oXEWiMGn4J37bbUFrfQjQoaYrl8tcN+892JwZHxJXWN7VO1TuDRrNKevRV2Jim3usL4jGoDSymoz8ZEvZtj73imQXIgbMG7lfLug9Oqm1h00PWj8SyD1moSE5H+PP+XwiUws/HUBd6rdxS8We1MZLlT8xbhsFI6s45sAsURDp8ssj8TUdDLJX+iuWgMqgOLKmr7TLaupO3vj7qV7z8sAzL3OfGG06kzUM2XHqSJ77dXV/XPgbfPK01WSkJCQ/Gf5U1b/geBI/UVW11LLvaPyPp7FpzB4Hex9MUZIXkg/WzjQWOB+6RH0Mo+XRvN6HXFTCsu2iYK8Tt1saFHCK0l/hxnEepJmTdseqjf67TGQ+k9CQvJu8kbSr9FoJc/rZOjUNU6PCotLAGZZHOnPdGzz8svaqnnbpJ+QIn27BQ6n8mpa4BWGW9C8zIZOyS6KeJxWr+ilOX8Px/Riimtaf5RtK1TdgrLtt30+si6hR92HthcDCQkJybvGm1v9SoAjl6JnrnN6mFPYCOB4KGwExwmxxN3d/RghQxw5xhKMwO2t/SPKla0xvLQHVPfldloUSlWbar/k+L5p261WBQfOR2/iHdwsDdokCdokCdosPblZGrRZfHKjNGizJGijNGhL6/KJzdITmyVBm6VBnX6lQZslQVukJzdLT24RH98u8L/+4Fnzy+cqJiEhIfm7eXNfvxIg5Hbcsh3CJzmFKoCg8NSPpvMQU9Sj9GOEDOPIEI070thxk9v1Z2WNfcT8t/tJNACQUqacut2PMm5DPyNLXUNLXSOr/kZW/WhW/QytdWlW/Q2tdGlW/Q2tdWlW/Qwt+9Es+xlqt3b4pVn1M7LqZ2TZz8hqgP6uD4w2eJ590Eg6fUhISN493lz6VQDXop/YSA6lFZcBQEpxw9fzBIjO76OdD8aRI7rLIKYDZ7vv1cd5il7a2L+qva7RvMVxOk9Gp/9zoRsy5GJsMWKLEd76i7GlCJcitgThYsSWIlyKddja6RcXY9pltoTCcP6nqeP1uEzS409CQvIO8qemZQ++fvvmvfhahQoAqlWaJY7n+rNcKOyefT4UXIbhcowjQ0xXHZrtNwuEtoeiMmsUL+0C22seepf+N/h0cDkW0Y/thNhihMtau6G1hU5rOG6dNnX47bSS7jhzz+HnJVWvmQsSEhKSv4M3H69fDZCeW1zd0NqmvgXgxJ3CD00cqAznXn0+hAzhUoTLMFyMjByHEU7EVq9zd7NqexHrHnrmajTwCvb+60p/i0az3es6ojkiXIJwCerpwwUjZIiQYIQEEZL2Baw94GJESBAuxnAJwiX92Y68YzHVStLTT0JC8i7yp+bm7ShsaoCCBsVciwP9GPbt7XzatF7a2fyXU3A5RkgRk6dDs/90pqNDQGR+g7I9Wk2nWF8k8irundcQ/Q49CyITM/XXuCMje8QSIJYQw8UUXIYRbhjh1jappATDJYglRCxBW+AjFh8xBS8CS7vARwzeENzuzL1U0tVDQkLybvKnZunqiLbNz43E0n+YOmF0p+7j9SNO69g+FO1YnoScwpEjXIboTiMI63Xi4LTyum6uf3Xn90sbvb8D3kz6w+PSTHd4/LBM9NPKvT+t9Pp6uf+gae4YW4pwOcaRI1yiQ4hHz3b/caXX2JV7f1mx95eV7mNXuo1d6f7Lir3tYezKvT+v2PvLCreffpexNnrEpOa9RvGRkJCQ/I20Sv/LBz17sbrnmkvt/jVq4J24P5Kwwegufbh9OnT6lVMIKcZ0HsKyM7U4EldUpek99b9u8sUmpaq0rjG/tiG/trGgttH2RNx7M90QQ9CWTwmV5WpsceJ5dUNZU0tps6K0uaWkuaWkuaW0LZQ0tRQ3tRQ1NhfUNebXNhTXNzWpXs/b83abNqkAGjXQ1LHDdI8d2boU6VsayuhtnYimhyXo4yZ8reR7HLnpdY5+y1X4f0Fn8D8b00vbWHem1xv+9TLRZ0pver3+Al6edi+W67vBW5P+9s0FDS3b3C8Nx20pdOeOtn+HEfy7VwDIKCz+ALrtbMuAlJIaaEuju9ZrAGpblDlVddlV9dnVfYXcqvrKhmalptO926zRlDc057Qdm1NVV1TX2NhNo7d7XBnAdkHstoaqbP5QDm+3/91agJqmlqL6poL65s6hqbChuaRJUdt7Dy4NgAKguLY+t6quLYd1xbUNTWpNxwJXA1Q2tmS37ZNTVV9a39zSto8aoKpJkVdd33r6VfWFNfXNqhdzALQAFNY2Pi2qufAgz+fiY79L8WFPi7Ir24ZMeulT8mpP0tutaOk7qm5L8Hal/02PfvuQ0v8qKZHS/7boVfrhJRt6Rrtvbm3TFveLIzn2iOaM4T1Xmb7wAnG0znQpxhIOZNgt5Z5Mq2joo8CCwpMmrZLprds/ef1+vQ2+eht8J6/vujxpvY/ROjee/+UahbLjsRnlNRv5pyav9tBb7zd5g+/EP9yWOpyISSvpuI8aYJnTSWTkhNqmF6awnL6YIzz+qPp5df0KW78pa/dO2uCrt6E1Rb0Nvnrr9htsPDBtz7Ht+26GPM6p68neVwMUNCiXWPpOXuWmt36/3gafSX9IVjsdSylu6VjADRqQBEWOXymbpN1nzb4VzqefF7W2FGoG4AWGG27wmrzOR2/9/gmr9/3uEPCssE4DoASobVJcjcuasefwPxcKP58rHj2N9+EM/lfzhHorZcdvJyjVb34Xvu2nq5t2azqE/yhvUyxfM/I3SlcNoH6FTGv6HsWk8259fSi+8oXSaECteTuX8y19YL3+pdX0XRYvT+R/SfoBAECtAShsUnEDoj835WFGthiTj3G07SN7kH7MWN72QeCGMfmDmbab3a+WKVoT70KjBpyP3sUMrRGTT2EJMDYfY7tSWHwKS0Bh8SksVwpLQGEJEJM3hGltJjtT1fJC+tUAV+KzPyKsdeiOGEtIYbsiQ5uv5knO3k3tmERBvWaGZRCi8xDe2qpHh8n9Zbn0QTnEFFd/O9tOh26H2HyM3Zo6xuZTWAIqS6DLdB5GcD8xsfY4G1Hf1Nwl8wqAY9H5n81wpBjZYywBxuJhBhaT1+y7n9WkaStpAMivVazgnUNTrBCLj7F5GMPp/amOtxJztZHUg2aa2X6KkT2FwcOYrsjIgb7RO620CQAqFBrxibs/LRENxh0Rk4fYIm0PA4zF78/gjpntdCYqsUWpUr/RE9T1+f+znrd3Rvq7pUhKPyn9PR/x/1X6W+mU8R6L++U3R/uRdQCnotIN17kPZHGRkSOGt4/mpp3CpYevAQohRQzeaBOHgFtpis4xa5fzqptWC84jIwdESCmEFMMlPQbEEn5iyj9zJ1vRIYbCBuUG97BBTAcqW4gRUowQI4bLB7OEAWFPO55L9LPSCau9EM0VEXJtU1QdBld/rSRdoTn/tPpLUycq07lDWmIMF2uXKbiYigt16NyR9B3HIp6oANQdJLJGDbOtj+oynSlsIUZIEC7CjOx+WeFxM7mm4wk+SC+ib/JBhlyESzFcgtiiYRynI2HpSg0AQLkCaFt8Ed2FwhZT2GKM7jTd/FATgEKtvhSXNWmVB5VmT2GLUNsA2giXIUJCwcX9mFzaGnl8ThG8hWeoz2vfaXPPqvQ2Ff4tvy1eP64/l4FXPPqVE3ldwe1Lm/5jH2C9nO0rveD6frV2MzZ64m3odWvsXcb0erf4S6Rfu04DoAJIKG7Y7H7pmwVCXSNrRHNsU3xpZ+mXdpjmRUalO05cKX1cVKPqEiPAo4xCo/UeiO6EWj8UWrtQIUKO4XIM1y5LEUv09WJZbG5dxzzdzyz7ap6QyuRR2l5CiCkcPlXgdy2u/YTVAPsvxXxm6oIYfETItY1T+zO4s8y80hpVksvZI425OizBi68WQooIGSI6TkQs0jGyXCu/kVfX6YPjYXb1D7+5Iwa/zQMmRUbc7xa7nX9Y1NHqPxudOMbUGdF5banL+jG4W+RXCuqaASA+r3nCal/E4CNchtjCgQRvrfSyAiC+oEZ/3T5dui0FFyNCjtra1CJCpi0fCov/Pm556VHG27wNX/IsqgE0fd0fbzkPfz5KzZuUzTsh/e0b36b0/6fpehZvSfo1L9u3S5m81tXVvPj7Xyb9L0drynW9u3r8zGl/kpoArsbmLbAN+GAGDxnaI7YYM5YhQorh7dIv6TjCM8YSDmRx14ov1nW4pbWLV2OffTHLATF5WpMcI+SILUVMEWIKOwQ+ojn/a6k4q/qF9NcrVW7BT0YYO2O4GNPqNS5FLNEgNs/zwgPtPtrhOc29ggezbRFbpPVQIbZkCO5o7n05tbZ5hfRmfxaXgrdW/yK2uDVFlqi9SoNCSDE6d+Ia7wcZJe2F0wSwa1/IMMJRW3XcOn0NzfnzuRL/m6ntuwGA39W7w5kWiCVom+pSTmU4j/9dFJtbrAY4cyd9zHwJYgoQIcOYLh/M4MsvPytRKJyP3hnEtsNwAUZIKYQEMQWI5oqYAgohwTgyjCOnsgXvsW3EZxKqVa//RHXI3quvf6WP9C5PymvlStPp8D/F61iLfz6+vyCq1/GHvOXvpL+OVzqpHvbo6wS7Wq6vEPurq7YGQK3p2PBc0yG8e/wV0q8B6KG3bbECPC/E6a/b149hh5iuFE6b0LcO7yzt0ApIimguY+a6Psyubr9Q2t9TdxPfY1tSWVqTXKpDiIaYCN+byh891XG0seNoE8fRxk6jOdxRhPX0nT5F2oYtGgCA1Ioao7VyHQa3w9eGFLHFunQnt3N3tTlUATQDrBEc1zGyRLi4VfpZ4o9n8YOiMtKqG/W3+FNYLhguxggZlSMbYiIaOdVllInzUMKpH5vXegq4FGM4/bRy3720Qm20SoDMevWUNTIKzQG9eNvJEZ3//iyR9Hxse6mpAKTB9wbRLDC2sDV1Qk5luX481fZ6Sn4TgPPhm++ZOCGmEBEyCsPp+2Vu19MVMXll45bxdJiOiJBhbMkANm/c+v0rxZdw82PDp4sRU4hwGcYWDKRZ7fAML+5Wg97tzuz5aQKAvHrF9biMgLDEwPDECw9SH6SX1HbYp1mtTsotDY9Pe/g8p07Vs8Ffr4KErOKbsc/is0vqFao+pP/ldDhGBZCQkR8Wl/YgNb++vWL/1WPslHxP5dFtRVVTy/3UgtD49Ji0ovJGxWu/t94saz1vf2sxKgEyy+rC49NuJWTfTMwJTci59TT3XlpJYkFN5V8y+HjPWWlb26tGt69V9Tgo+kuk/3UuToevhL5RASjUANppR7qn9v9C+t+kiq/jqzYhu3yxw4mBbCfE4lM4Mgouo7xQww7VvyzRMIJr4XWpqcNrtwXAN/TpcJYVhS3AOG4YLh6AO5vYnnM+dU9yMkIcFCHRhhPh0qBbF+8mNyhbb4wWDQQ/zv1omh2VxUOEDOES7XQCiCWm0hxlZ++057NQAYu4J6g0a4SLtW8XxBL+a5n747z6tKqGfy2TI6YAIyQIl1LZQoOtRwQno6Uno7Z5Xf9m2T6MwUfafr9GdvRth+NyK7WxtgC4XUj6dLYIY7q+GMqCkCOmYPg0IfdodHtBlalgz4GoAXRrjN364tEa7CM59h6hmcUa+MMpYCBL21larsPgGm70iG+EcwllY+Y66bB5iJAjpnAEx1kc8gAALsZnf36QNjIAACAASURBVD1XhCZZIboLZuRA1du6fd+Nksa+rRit5dLDvfowq2S1KOTDaU5o0i6kt3sY7jD+D09+0P3S1lpqKG9UbJGEfGG822SzNKuu8zdz2yOUXQOrnE58SNuwyvVMRllDx1RffIe/HhoNgAJgpY3np+yd07b5ZJXVdDiPlx/eLclXmmQhPDH7xyXCj2Y4jl+190JM2qvm9e2LQE/S2WGYk44pvvTJbQDYdz7+c+M9X8wRfj5X8vkc8ZcLpL+s8iHMju72vfkou0zVW5KvmNcuU2dr+vaE9Np/CAAUAFejnqTklrzkbu7plF8+DMxrSlxCZtHthJzq5ta7/J3U+R54a715X07bp0J6WcM822NUQxsMl2K4vGfpJ2QUI7tJK0VpNS/GwSlTgvXhBwPp1hhbhAg5xhb1p3PlN5/3nmArRQ0tix3PDcQdMbaQwpHpTnXTMXHDCAliSyg0J+GpO+2H3MtuMtjsj+h2iJAiQo4REsTg/7Rib26DMq6g/uvFcsQSYoQUwyXI0GmV5KL2qJQazUy7EGTARYScwhb1N7Lesi+8oF6hzUONBmaYH6HQHSm4GCNkOibu2i8exBYOJAS7fULbU08pU8x1OIcZWmGtrwcZRsgphEiXbr+QdyO+TjHX0leXZqt1WOnQ7Tnb3NPVILuaPdrYgcrmI0KOWKKhhLOZX0SZArIbVXuD729yv7jd68ZOz6u73IOD76bWdqz47gG1Vky73L4ZpdXzLA6jCduRviWaZI4mmCM9C8zAahh9977zcY1qFQAUNygWc89SJ2we/zsvtbbnZzqtUj1jhw8aM3vmnoPPS+rarlJPxv9LnTCtj6hGDdACMHUjD/176dglrqntQ+Z1f4B7eKQ10P590ho0oHnxXdujCig04H7+IZqwAzFdsMl7HA7fesWnvZdzetuWoVba+tAvTc91MPUA/JOPKRM2UxlOyMAOTdyD9PagyXuQgTmauAXf7Pkgq6avCpxXEc2+P7A6RdWr9BdWN3kF3//ReP3psHu9x9NXJvvK56teS40GoF4NN+Kz8D+c9sjPlre16fv/LP1/pm2fVhEiUvLG/u6B9J0phFuXcX60k/pSCBlG535q6hIQmdteW/q8rHGuw3mKkR0FlyHCDWOLhnJ4O/zDLjxID76fEnw/Ofhe8vl7TyMTM2palG3PNGgAHmRVfTlHgLEECBfrcKQj5noNMfVEuBixJVS6o9OxO+06dejWs3/MlyCak7YegkJIKEye4eYDuY2KCw/zPzUVIlyMETLEFukyeTs8r2mPSiiqY247ggwdEeFGZQqGM8z3hyZpWygpAa7FF37/mztiuiJcQiFkw2Z76XAkGCFFbJEui7/Z7XJ74dxKKvh5lTeicTsPgyHBmLwxS30uZlbPsvTXodkiXIxw6QCmw2KbA6mNajP/R4OZdlS2EOO4YYQMY7h8sdBzo+ftwIj42Lyqpg7FrgZom9+mtyvY9XnT/iM7HT6cuQcZ2P5rufcyQcga+QXG9sBBuCvV0GbcUteE4noAKG5ULHY+rzt5x6SVwue1oOxJ0nJqNVukId/NstzmfjmzQtvPrFWlNG1LXQ7R9Bg67KEGUABs4h/+fp7jApvA7Iq67kf1PV9mhxy0pd6WiR5v9dyqphUu55CBHSLkSM9qkcNJbSV812g7fO92zEa3fTSaDlloT1TTUwx9XLZOu7XSw1EvCrBbXHUA/FNPqHrbBxL871b4M81OTNl48Ic/fAYRTojugPR2ruBfzK9r7Bhlxxx2Ka4eL1wfpdTlGmnluccYjoQlfWxiS/1x6dm7T6DNAd3tinda2bF8eku90ym99BQ0GgB4UthAbNuPvlu40zOsVAn/Xbyq9LcAVDSoG5WtD8TLD+hWgu1on9Xt+65TDewwtqSLvU/hyKm4GKM5okl7BrFsd3rfaGk78E5q4ffLvRDDBbGEiC3BcOmQqeJP57qNWSD75zzXr+fxvp7j9M0sO9Otbjml1dB291QrlPb+ESOMeQiXILZo8HS3MSsODZ/ljnAxwiUY09HqYHT7xDG2/jcH4s4YS6h9FVFw0QA2d5XsRlaDQnAsahjh2OopYvJHzt5rfzo5sxainpXt3h86ZvFexOAjwo3C4H03z/nGk3TQegABNoiCBjHtEFuEcMngmR7/Whc0gBBhuBixJRS66xpRcHvJBEU9HTXdFbEEnZo/4VLEFo003SsMLTbaelCHzkW4BLElwziOtr5Xs1s0lkceD2XbU9kC7bBIFI4UY7hQDaxH4zbGOw7uC4ktaWiGF3e2RlsyvZlE3aW/WglrhKfR2PVjlnj6hGVXATQBPMpvpG07iE3ePXTKxuNRWWqA0kbFYpcQ3ck7J60QPqvr2QyrVcGTwrrwlKL4wroaZafbSNVt5/a7pZ0eHy6t1Z+QVx72rPhhbnWtUt1RQVS9KU67E6pzVD3mocuaO89zfpjvosNwRGwpMnL6aZnkamxa+9a2J0TTpZlIb7F1z4BG0+nY3k6hj0x2ec9pet+5I3UA/FMJlAmbR04XWR+LSyxS3s2ovppQZHf84RcLpJiB1UjC7uKjnD6Sbl3b+ebqVRJ7yU3bW6TX3IrOxgxmcXUmbgmOTYG2mVO1dG+d09O79gU9+4s0XXPX/ebUbo1Kr5qwdj8au9bswKMa6HrUO84rSb8SIOhK9PHr95qUL27Kl5xk79Kv5ejt1H/Md0d0J6y1DWJbuxdcqkuIf9l4fJ448uPZUtPdPu3SfyUhdzCbi5iu7831em+uD2LyMVyEmEJEd0UMHmLwEN2RYmA5wzwgt7IBADQaUAOk1jROXCmmMrgIlyAm//v1JxaI7743TYixhQiXYkynnV5hlW1ukM1uF5ARV1uRixEyjMUfPc1x743cjAbFb/ZH+rO4rWY4iz98ltxo97l5zlfHrz84mOM6eJocw8UYW0gxtNzpeaW0tlEDoARIKm02WOeBGdlhuATDRR8v2T9bdG+osZDCEiJcgmjOK1xPtZeJ/424fixHxBZ3aAKrLRnJoOkyU+G9r5Z4Upg8RMgQU/ypqfBYWEqFGnxCsz+a5kBl89tGxJNSCCkFlyAGrz+b99FMwVbZucLKmk6XrA8Dshu5jbCYexqN3TB5U2BcSQO0PTDuIY9/XiL8dZGT/7WnCoDSJuVi5xCdyWYT/xAlN0Fcbr3vuTDfkMjHWeXqtjTrVZr4rMLQ2OS4rOI6hUoD8DSn+GpMSmR8Wj1o4vIqfUMi/UKiYp4XtGewUaVOyCq+FBX3KC2/BiAmvczz9M2Dl+4+L6rXZk/bLis+Iyf08fP7z3PrFUo1QFZp7bWYp+GPn1eoIacWAq/f33v65rVH6VXtDtm2905KUc2hy3c9Tt+6m1LQBHD/ee6FO0/j0/Mbld3aQgFoABQAh8JSBkza9Mk8t3+uPtGfIxxosFNyJlLTSbM0AFCrhpuPM/aduRV4/WF+naaoXnP1wbObj1KLK+vbd65UqM5GxMtO3PA+F/Egtbilw8XJKK668fB5aExSpaIlt051LPSRx6mbF+4n1yhf7KONpKBeExT2WB4U6nk2POxJdoMGAKC6RROTnHMxOuFucl51k6K9rNJLaq4/SAmNeZpdWttF+OoABKcSKBM2fThT6HsjsX19E8AW90v9jKyQ3h77Q1G1Lcr2eyCloNr/0j3Z8RvHQmO1n3FaS7tBoX6cXngxMu5JTnEdQHRywb5ToUeuxWRUtLy4ATUAACWNcDb6qfvZcElQqP+Ve/E5Ze1bS2sbrtxPDn2Uml3ZklBQu+9M+OnIJ3dSCldJLw8ieFT93VZHIiLiMksbmvJrWm7FPr8ek1jcrM6th2PXY9yCblx+8LwBQA2QW6M4cuWOPOjGtYep2qFW2q9sC0B0ct7eMzfdTodeupfUsUQalKobj55defAso7SmFuBSTOrek6GB1x+mldZqYyiqqpMFx369bB+aZGbqcOlE1LPskrp3sRVnL3SR/h6MPgB4mlti8oeD6+Gz2pVPUrOyiss73Ot9GyU9b72T2TB5w2Gkb4uxRV2kn4pLvl19bEvgM+eQ+AW7ZAoABUBYfM703b7YFPPR8zx/3nL20wV7BzHtKXQnjJCgtqb9FFw4hOA6n35a1WZpNKg1B2+nfzjTicLiYbgE0V1mOF2R3MgZyeFibAEi5IjuuEZyqaheBQA1Cljueh7RnRFb2tq6hsn7ZoHgRmZTRmOL0WqhLpPb5pISU3EBojkifWtk6KD9CqHggv40qzlWxxKKq9vPnBsYPWqaK2K6YmxhP9zZYHfwOr+k4cauFJYA4VJEc17mckpbQEoA6blYXZYTwqUYR4Zwcf/p7rpT3VBr8yfRv9adHDFTjrGFiJAhpvCn5Z73M+qVAJHPi/8505ZKd2zviNDWD1mOcClGdxpCtzT3vlJU3dCx/F/Na6fRgKZKCauFp9Gvm0aYCPb4385sHWEPMiubbsSmh8ampRXXqAFKGhWLnUN09Pf8vNrTN6aauT1wJH33aLYFe9O+M3eeaS9IXo16i+DkN8ZbtojPZpc3AIAg4Ma4xS4zdvgeiMiYbnnsPZblaLYVY4PH8YgErQ+lrEHJPRD6jcm2deIQn8j8KWu9h9N3f8Sxmb7zQGhisbJN+jc6+fx7+p75u33zKms1ACdupUxabItvlJ14XLvU5cInU22G0ff8sMDV8VBEccML8/xGQt703Qc/5NgMp+2e8oc0+Gn1Epdz38yytvY4V1rX1GOJFDaqNntEol/X6W8J3HE897vlfuiX9SuF5wsbXnxWqQDKmsDpSORPS4XD6Xs+M7FbJ7sScK9y3G9ixirRzUcZWisyp6pxl+eVMaZOAw13jWBa6K1y97/2tE7Zmr2Aq7EGK4T6v7sevZe/zi30YxPbYUa7v1/oYuV9raix1a5XAjzKqVnqGPQPU8dBRruHMy1/XioWHosurmuuVWj2yE9+bbKTvcnjYUaBNm8tAK6BEb8u4hottYlJK+tizNYB8E8nYBM2fjjT1ftKfNvZAACExKR/u9gN6VnOsQhIL63R3q63kgpN9xz6gLAaqG/26TTuEvtj0cl5Wu3Lr2ra5X5hjPH2HV6hXuE545e7D6Pt+mSq3TyrgDvp5e2ZTy1p3CAO+WqOy1CmxQBDsw+MbY23+5yNfqp9U91LyR67gMva7Ms9FrfQMXiIgdnE1fs4uwI+nMHXJYRUFu+zuRLmGsnD7IJrTysYqwUTl9ifeFyzVn7rUxPbIYZmPy7i770Ql1ijXCkI+YhjOdjA7Pt5jh7nH9S3fQ3UAxy4njRxpWwo3Wwwzez7hYJd+y7n1rS+JgtqGwxX8CaskAnOJjgcv/f9ItFQo12fmNj9Zh/48HkeAFy4/3TsUv5Agkdh8UfPFH1jahdwI/klVWnvEl2kv6s3Unvhg6PixuCbNkpDypqhQaHe5br/XFQM9OI+6xZhz9ufVWrY2/yR3u4hM9x1TeSok9tHigycP5vv5h6a5HM+WgOQW9O0mHsa/bBq7PoAU2H0p/NlBlsDnYMfzxNcwJhCrLXzqpTK4n0y3eFUTEG757WkWcHZdViH7YThYozlOnyqYM/xhIN3M0YTtq31oob2ixzPZFU0A0Bifj2x/TCiObVJp5sO0+Xnxa6J1Y0pDS2/LOPpMJxQaz8yKYUjw3ApBZdSCClGSBEupbJ4M63PPsir17Y5UwNUtMAMy0BEc0S4mMp0+WwuX3Atf/ex1GGEM4UlQGwZorksdjypzW15k3rnvlutDUA5Mgou/GCBz5BZHm1DCUmHz/HpZyLDcAnCpYjBn7TWO79eDQA1TU3Sk+EjOQ4UJo+KiyjaihOOdsowGYUQY0znT2bxrsZnd76yr+K1U6tBowHgBV4baGCGjLijpwum7gl0PnLt9tPCLgZOSaNisUtIf4bdqJnir5f7o1+2Yvq2SN8Gjd9mvNM/qbgOANIqNTN2H0bfLZ1hefRZaQMAbN97qT/NetQ0/j+XeqMJZmj8bjTZGuntGrdcGplRCQAFdaq14qvol3X/mO825rf96KfNaKIFmmKFJu5kbT/0JL8MAJoApm4VoZ/XjP1dnlZWowLwuJA0nLZrGNtm/MbjaMJONMUGTbFBeuYfzXA5citFm+GEvFKTnf5Ibw+abEnRt0JjN4xd6z9qjjvSM/vd8Xh+bc/TR8flVUxY44N+3TjfISC8HOZwr6JfN45b5R2W8qIbBwB4nrv7Psca6VkiPQtssrmugdn4LceRof1H0+zPRKWqASoaW7iHwgfRrNFkS2RgjQzt0K87xszkXnzQ2s9DdibmPY79IIbN2HVHdAys0CQLZGCHplh8wLEKvJ2pvWfyamqX2h9HejvRZGs0yRJNtkETdo1i7vK8GKsEsPUL0dHbiultPx7Z2hSiHoC11RtN2PbzAru0qq7zRmsdPmjCxg9ntEt/K0mFjbTN/miS+bjl0kc5xRqAlJJ6fJsf0tuNJu3SoTmgiRbYxB1zLfzz6gAA0iqa5tudQb9s+GrJvi8WeaEfNqFJFsjAGuntmGN7Iq2sRnvVzORn+k/ZjiZZIAMbipE90rdBE3cw1rll1wIA3IjP6GdkMXiq8Mslnrp0O/TLzombj/680huN20nFxTqEFE3cNUp/XdjzrJOPqz6Z5qCrv3P8lhOUKRZosiUytEMGNp/PExrbnqJM3oP0LJGBHZq48+fl8vCUYu1JnYp+Oma2E5q4CxnYoClWSM9ygJG567Go6hYFAGTV1L9PWFLoTj+sPjiMbYcmmCEDG2ToQJmwfbMsuBng8PW7w422Iboj1ViODO3Qt4tEQfd7qPN5V3klq/9GbOqP8x3eN+EevZeTVQf4SifBiajmbl6zHrSkQyOzLmRVNu+QXxi/2vPXLWeGztyHWG39pLT1vbhYl24/bbd/ToMCAFLL6mZaHtfRN/918/E5vNCxv0nllx4/qFTNc7mIDJ0QU6CdRIVCd/h8mlV0epH2NFQAkanlX84XIpYAEVIqzUF/k194ccvByOejCWsqm48IN2TgMH1P4NPCGgA4HZX07SJxh560ch2mk+EayfO6prAcxb8Wi3SYHScga+tFTMgRR4YIGcZ0Ndp27F5OBUBrJefx8KSvF0kQwxURMh2m46/LBQ/Klc7nM4bjXCpTgNgyRHeZb3eyUgkAkJhXOX3XYWTogAg5hksGcVxp5iFjVhxBDEFbmUjbhmeQYAxX+mbfqrbWq6XN6nWCc6PZFro0GwqLjwgx1rG3My4eTDh6hDxueu3W2a3+vbiccqO1HmjSbirDGelZDGbYjFvpsVZ09tSdtPZPCa30D2Q5IgPrL+a4ul9+4nEtacrWY2jyrs9MXQNvJQFAWhXMsjyBxq4xtTv9rKwRAMy8rg/i8KgMp8FM6+3et71Cn8yyOz+QZjWAbrXF7ZIGoKBBs14epmNohQxs/mEqtA6I2Hcrgb4tQEffnDrZzO3cwyaABoAZZu5o4o5xq73TymuVAPsup442ccQMrIcTdma+YYciUxa43qAaWaLJ5uslp7S3q+R05CDDnUjf0sTy1KHbT2UXEr6dz0cG1rpM7gremfxerP7zD3MG0C0HGu429znXBGAbEImN2zKQZut19VH7rZ5dpWFvdEd6O0ZO41kF3A28nbRCcKm/kTky4n4+R3j2ToYGICq98OtZdmjybqNthwIjEnlnYr9f6oF+XLlBdqG0EQBAHhz7/kyhDsOhv+GeHT7hAZHJ85wvD8G5gxg2a0Qh9aBRApy6mz2CvlOXZk3bFnDwVoLdiXv/XLwX/bzKeJtfclnDhUfp3y2Ro/FmdoejaxRqAEgqaf5ukUTHwGqd6GyZomt3BK30Yz1Jf16NmrPzCJpo/k9Tx6iM/GYAfmDEUJr5QLr1ds/wgMjk9R53Bk7Z+fE0+4O30gAgrbJlgfMlipE1mmL13SI579Q9t2sJk9b7YQZ7BtAtAsOfawDicyp+mrFZZ+xyg40HfG8mHIpIZu0K6mewZ8xs7pUnFQAQmpA11NgFsflUmu3YVfuJbf7WfhEB0Xm07QH9CVcdmu0chwvCY/dSK2tPPCj7cp4YM7TWNbLY4hHmE5ZkbHVuANsRGdkNolsvczm1PyJpDu8yNnn3CI6Tx/kHAFBQq1loF4h+WfflApnjyftHwxPp2w/1N7L4cYFDYmk1AGTVNHwyi4eMeP0Z9uwd/kcjEi0DIkfPEKIJO+ib9j8ta3laULFWdPnjuTLMwHbixiNb3K9FJRcr2+6BDmX7Ot7Vv5G+fP3tWX5aUDN9TwAau3Wm3ekTMWX0te7LnC/k1LUKSXF1fXxyWkNLS89RdPr74t/SRuWD/No5tscnbQ36fNkhxBZ1mcwLM7T9aalrWh0AQG6dYqUkVJdmPZjDWyi4djKuLCxL4Xz09lfT7f4xV/TZXMnncyWfzZN8burMXCtOKiwF7fjGSuVmSchQjot2XnVdusPvgtMNAAExmSMJO4pW+g0d6Rt976UVA4Dg2M33cHvEErZ7TvoxuStcTmQ0KHxvF3803YXyQvrFVJYrhcWjsPgYLkIcGeLIKWyRrqHFKsGZnLI6rVN4vfBkP5o1pm2QQ7islV/JA5DeKBpGOFOZAowtQ3TeLKug/DoAgBvxad8v4iOGCyLcKGzRMI79nhOJ03m3EMNVa/i3OsQ4MsQW92O7LHI8W6VSa8+0CSC9vO78o5RVsuujjJ2GTxNQmK4Ujtb2lyFcOojj4hQYVd32sGt6fyV3rxnTrgx5WPDrCg+kt4tK41KYLsjADunbfL1QJD4eXqtUQpv069Ls3jPhORx9oI1ZfvERmrB5KM6VnbkHAOlVYGp1Ao1dPfuF9N8YhLvo0G2X8K/kNgAA3M2u+GGJEE2xmLTKvahOnd8I6+RhFH3zfgyHbR5XtL0ITkZnfrdIhsabLeWezKiqbwGYaeaOJm4fv9qrTfqfjzJ2oNLsp1ke0w6Nej255PPZzmjcrkXcIDVAfp1qmfNZ9MuGMYvkwQ/zAEAF4HA44j0TJ4qRzR+uZ3uU/uoWlUPAHTRp15fzxYFhiQBwNCL+Q2NHNG73lr3Xq9ua9x2Pzh4zl0+dsvN34bViBQBAYlnDpNVuyND2s9n88/czK9UgPPuYOmHD5/NkB2/nAkAzgMXBW5QJm39e7hGWXAQAbsGx788QYAZW0yxPZ9SqASA6v+4LUy7F0Gq6RUADQGmjYq30OjZx6zeLZKcflmoj2el1aaTBhkW2xx7kVOY3KYx3BaBxO0wtApJLq5UAR289+3i66yCGzeGbz5u6efz6kP4aFcyyPI4mmn9qYhOemlsEQF8npurvmbLpUFqNEgASyhUGG3x0DMwX2h8FgIyqlgXOF5G++RDCyTEwSqsU+68lfj5XhCaabZFfKa5vzq9s8Lv4aIskOCQ2X5vKvlvFQxiWn81yCridDQA3E7KGcpyQocM3y7z8o/KT8yuzS6qVAC5BDwbjTtRJW49GPW/RQBPA8ej8L+YIqIY29G1HMmuVAOB/u3AY2xbp205Y45lUUQcAh28nUfW2Uo1sXI6FA8C5mKxvFknRLxvNDkVoeyaeeFj+xVzRYIMtfjeftwDk1DZ+NssVTbEfs0B0/XklAGQ3aEztQtD47eP+8ApNqtAAXEss/3X1fjR2wybPqOxGUGigvVqrQ+G+4wM59PRmqm5sySxragKoUcNa2Q000XzoVNfl8jsTNwT++Nu++1kVAHDtYaqFJDD2WaZSpeojqi6oAZQAR24nfTnDlrC++MPG0wgXoRfju8kRLkU07ldz+ZeeVAFAQROs8YhG+hajZ7szLc7Ptg+avvMAezVfdjw0JiXvdnJeRHJuRHLe7aTs+IyCeoVSa/InVSgnrJBSGY7aYRsGcsTjNh5aLrnCsjg5bKqgdbgbmvO45W43nmQBwB7v8wMMLTG2WNtKErElI4xd3INj85rV232jB+FOFJYAI2QIFw8ydv1qvuif8wUfzXAZZiLAcDEi5FSOlEKz//ci8a0n2QAQnV41aZ0PMnLQjqUzeLrUYOepxcLLBrvODTQWYbgY4TJE5xnvOvqstAUATkbFv09YYiw+ItwobMEwluXhe883+UcjusuLamdtYPJHmLjYnYjLV0JpCxS2QL4SigHKAFKq1UcjUxZzz3w+R9TfRNJeiTKQcHI7H9fc7Q5sUKqCo5/tDXnkfj7O/fxjr4tx954X93j1WgAeZpU5B0ZOXuU+mLabYmRNYfKQgfUXM+0uPi5UAZQ2KRa7hFANzL9ZJL2a1GoXnLz7RHfy1v50W/6JSGiX/l9Wd7D6QwezuUMY5kfvF2k/litV6g3SixQDq+8WSR5l1eY2wjq3MDRh27dL9p592DrxWUmzeoFDMPrVjLbB60FWsaLV6u8k/SNxm2G4g21gjNYkeZxXMmHVXjR+9zzbU40Aj/Pr8Z1H0dh1c7nn06pbb93IZ+Xf/+6Bppiv5J3N60n6n5VUmez0Q5P2GGw9+rRCCQAxuVW0rYFovDl904GHmaXa3YSnY96f6jRAf/uRO7na1GsAdnvf7Ee3/3SW4MKD7Owm9WpZGBq3efL2E49rQXviR+6nj54uHMS0Ox6eAABuwbEfTnfVnWzmcjqlWgMAUKBSfb+Qi/Qt6Fv9GgAyKhvoWw+iCVs5O32LVa3qklledevx86f5FVXNSjXAZrcL2OTdX820C3+erQDY43FxCNPm4+ncJ4U13a9yHQD/VCI2YVN36a9SwkzLE2iS+Wcm1uFpuY9r4bsFLlRDi43+8aUACoACgE1+sUjPfMo6z2oVpFcrFjpfQOO3/Lp6/61n5dpIMqoUxO7jaPzOWbsPJxdVAUATQFEz1ABkNkLAnTxTp2v96LafzOL5haYBQGhC9jCOI5q4Z47DyeIOH6ySs/eHsh11J2w8dz8BAFRa6Z/NG0Cz2OodVaNWqwEuJ1W+x7bADGwXcE9qDw15kDSasEbjd1n6XQEA9+B7g9kOuoY2AQ8zVAD1AJkAekZQVAAAIABJREFU49d560w2M/ONrtFAXn3jpzOd0WQr+sa92s6ZJS1gtv8eGrfpx989Lj4uBIDI1PKJa/3Qz2t2+kRX9Cp677jV34OnR9OgVHufiVyxR/akqIJ3/hHSt0cMl48Wer83e18/Ojc4Me/M7Ti9hVaSU3frlarOh/aaXrtRGZZUOHm1O/XXdVsPJ4/fHoxovA7D+LhhhAwxnT+cxfcKTVcCRGZU/nv5PqqR1fvTeMzd54jdJ/8QXr6YmFPZ0xj0rS1DNCA6G/v+NCcKq7UPLZUj1TWWIjqfwhToGLdW5CIG718LBSEPU2oB1klD+hu296SVILbws7niG08rihQaE/NAKtsFwyWIkCGG6w9/+B2OzItOLzx8N5Ox6ySiOSNCTiGkGMPl2yVuN+KzAcDKL3Qw7oxYreO1UY3lVEKCGHwMF1I5Em23NURzoW3xj8utVQMcuBk3nGlBYQsQ4UZh8UexLc7FJgkuPhliIsCY/I7ST2U6fzVfGPiw4Uxs2WIr33kW/nOtA2aaH1y4x/fc7TgNQHJ53RafyH64ELElGCHF2JIRJrwjt9K6X5ayxuYFNgEfT3f+cKZw9HTXMfP44qDobnu9MFpq1BCfW3r8bsYfstCR01wpNIf+dNu10ms1SnV5i3KxS4jOFLOfl4ljCzXaG+LMvcThjD0UAyunwDAASOtB+m8MZtmNZOyIzC7T+gxrVRpBUIyukdVX84TXHufmNsE6twj06wb99X7RmQ3tl3iD/DL6defYpaKIlBxlD1Z/6ii25fvGdvKQJK2EJ+SXMzf5oHFms62D6gBup5ZNWrMfjV27Ye+t4rZGAWkVKr21vkhvz4pepP/Ws7wPORZI32bSlmMnYorP3s32D89h7DqNpti9x7Y6Gv5Yu5ul362hbPshBltuPG+tX63XwN6Q+EFMu09n8S8+zHlW3WxqH6xrYP7RLAF7u+/sne6zzfZOXiMfxnFEk8wOXL4PAG7BsR9Ndxmgt9X7elYDgAagsEUxcbkrZmBpsMmnESClpPqH39zQxG1zrXyae2kD6n3lycczXftNXH/gdmopgMk2N93JOzhmR4oaenBK9yH9OVUqfMcRNMnia1PHyMyCqxnKrxcIdI2svv3d08TMw3SnfOoOj38vlaEp5hP+cM+sVKRXqxY6X0S/rDXedfRJSas41AMscjyLxu00WLsvNrsYAJoAIpOKLDzOMdfJvprrMojFpdLsPjPl77+RCu3SP27HauHxjn2sRafuDsW5/SdsPHMnAQAUAMej8780dR5MM+OeeFyjBgAISysbxTTrT7dbL72ovXuvx6ePmctHv5iZ+1wGAKeAm5i+1QCW86S17qZmHrN2uk3d7f3hNLuBhntWuIZUKjX5DU2fzHTCDKxMd3trPwsqlWBz5AEat+77ZW7nH+YBQERK2cS1+9HYNdu9I/+/tes/e/vxGPYm5pb9dItzuhwJwsUYLka4GNGcje0u/vK7+N8zd8XmVbxCQq0vBG17jNCnBUabD+gYWg1nWlqdyhy39SwydOlc0yvDmK7vTRdYHE86FVdhsMkLGdm8P9XJ3OdqYmH1ncJmv4iSkJT6xxUQndUcnd4Qnd4UmdEUld4Uld4Qk1lbr9ZUqdXMrT4UhmMHk1mKCAlii9uHj0YcOWK6fmHqfOpuQnIDTLU8jRnYYLgEax3CQfDVQnFyWV25Sj1+zT7EdMUICcJliOFqvOdkXjMAQG4LrJBcQ/r2CJdTCCkysp+4wT86s6KwEWZZHEWG7UNVuyHCrXU0zTa/FiLkiMabsNrrTmppNYDLqbihTGsKW4gIN8Tg/XuB642nGdczGn/+wxczcnjR0JOQ6TAdx6+UheUpHYIShhlt72dorkuzw6ZYjsatnY/f0Voo0itPMLqLthcCxhJ8Mktw9XFW96tS0tjM3u6H9K2RoSPStxvMtrc/HNFln4oWeJzXdP5uRlJhlfYpUgHk1SndrqR9OluIGdjor/cubmypUKgXOZ/XmWw2frkopbq1Nfe5mOTRhBWmb+0UGA7t0t/Z4TOYZTeSvuNubqvJXKvWyM7G9qfZfDFXEHw3LadV+tfrb/S7m/2i6nWLxyX0q9l383k3n2YqAf6Pve+OizJJ/n4Aw56uG8/b29vd25x0XSM5D6AoYsKACREBA4jknHOOgoABVEAQETFgABEVQRDJUZCcw+Q8z/PU+8czDBnRdfe8+7314aMzz/RT3V1d/e3qVKVtEYlInlhtOLrW/ynJ7vP1LqdzWgi7u7aXrGlxDllludUxlQ2QW9uz/EA0stz4aOT9/pFO20LBZYzjEClrfZ+MLgZngg1DRyE4q2aegq04ye/9DSHf7Ir4ZnvYNzuiPtQKkyAFIFLmduce0XEAAIuo7L8puyySN8sZic/MwuHk9YoFqi5fbPa9WdpRPchUs0iar+L8nrLzPOkTC9YYL1hj8L7M4Q+VrSSWH4q+kg8AYdcI6D924XErjzhNyOMrGQVLyDsQ0F/TM/ztNn9kjbmOwyneNN4nitq4ssaxYisPnThXmt0Gq/SCFsgcd7tYShVMYZ1NueBDpKvuYiocO41I20odDH3WNXi5gvrNNt95io5zFeznSxkvkDy4QPLQ+3Im82RMpfa4V7b2v6RhBPSvt06uHhDmxQfY652BrLJcoxdS3NLDAXA/d3vZDp+PlK0WSBp8q+205kjiAhWnLzf5nL3fDAC5VW0faHggq82PBibDROh3m7f6yDjo3+T1gbJFaFYdAwcc4FHL4Keq5u+ruVrF3iea917lyx+3+yMrLG1jswHAIT4bWWM7X91rnpzlfEnjBWsM/iZ5+EMFs48VTXWsY8kcfjeb+/lGjzmKzvvcLhLQT8PB81LFWOh/UD8oaRSHLDc0P/Vo8H8M+mv76VpW5xEZpznEXaERABLXCJ6jETJXyWmnc1IrlTn7/AQA6ffLZPQ8/6Zoi8g6bvV9cDCqaPGWcEQ1YJwjB/UQRM3/w43B69zvqdplzlVyQKTtlEzONtEFAyg4nr7381aXZfvCpIxj1xhErTkYuebgyVUGJ1cbRK4+ELLd7kzzMP1eVdc3O4IQUsAo7qsHi2kEI2NCBSBrwxBV/3+uc015XHGzkfrLvjhkFGSDxdV8lh+IbKEyX1KxZQeiEJI/EWYAUfLe4ZJCxNZqGqTruKQg8m6IRri4epC4vP2egNwWAXbmTslXm30RlRGnPRqhiEaomHqo8MMo9Psu2R12t6KtlQ0Hg+7PUXAgfFQgiu5aVomV3eQeDHTcUucoOompBY84dAudq+yuYBhcReM6Xar6QM1ZjOSDqIcgpOCFmgFSR8+YnLx7PPzGMr1QcTU/RCNUXD1YXMlV6fi58o5xIzSx3D/I5m61if9Ezf4jDZdFJIcvtVz8kx5MaLK7zxpIRkFfqZl5nn9EHTPL6gRYaRCKSNst3RvUw+KQBZiud9YcGQvJAwFNDCH0ZxbX/V3dQUx+IvRvdklvHIH+90muHylbZ9cJ+w4VxbwuFs5VdPx+R1BeTW8HB4zC85DVJisN4u7VCavABzAMuYWsMF9zIPzxiy7+lFY/ye6LDa4XHnUS0F/XR1lvmUBAPwvgyUuy3JEzyIrDe/1vtzEBAHCAZ+3M5QdjEBnbAz5XuuhC6Bfti7RTOTpuV+cpu8xV85FQ8UTknRAFJ0TeWUzZay7JX0zeYa1NSnUPHQBczuV/qOa2UN48vaybuNRNw3H3CwXvqbp+sdn3eklbPYWj7ZwhJmO1RP+M/62++LzuuNz2uLzuuIf9p+61VXTQACDs2vPPtLzfkz56qaiFD4AB9PH4ykbBEvIOikdjWQCNA7SVB6ORNWYbrU/RR242UTnoAFPAxXHiKx2DPa4J4quMlW2vWl5q+3F70KdKx29V90+1LzcK/f/Q9o0ZgX6iwTOLmn/SDUOkbXe5JL+gMG/Ws77f5jdPyVHbIzcqp+t0Xkfs/c7Y/L5Ted1Xirr6mfwmCn+n13Vk5RGl4+efdggHbCoGO9yuICstSCZxFT3DeU3MX3f5IVJmq4zPRN5uetI1GJLTt0jV4Qttz7N5LwEgp6ptkYa7uIylRWQ6TIL+uZJH0gurCEghoP9DFcvwmw2j0K9i/qGaq93pfKIK9yqbf9w+avV7JOYg0vYL1/manC1OeNIjlP+DvtP53TfL+jkY3sFgf77RY66Si4HvpVHoT61AVhot2RM23uo/dOLUw/8dqx8D4OMwjOI2CU8RKUcCN8feMkXUgiSUXfd6preNPzA+hsHEc6J8HOfgeMMg2y/l2S87fL7YHOBzZ0DFOl1M3nWM9x6hgSymHjRXI+gHgyRpi8zFWj7SRxONQ+608SCzvPXfW3wRGSsJJTcxJfc5Sm4Sym4Sym5iKm7iys7z5Kx2umfUUTmHvC4uUHMbNbHVgxBVf+IskDgpkPCUgGiEiZH8PyHZJz0qP5nT8OH6QITkIxzb1APnktw3u1xpZ/Dyaoe+3xWCqPkjGsGIWqCEitdBvytE3Yqbe+SMohAlT2JvdoGyg8OFZ60Ah8My5ik4EA6ixTSCEbUghBSIqAYipEBELUhceHg0AlH2/V4nIONJQ0k3Q/bYRUTRXVw9BFEPlVBxPxF1r5eNoQBHQ9PnKzkiaiFiI+eO5qt6aJlFt3AE8fldn2/0ECf5IuphYhphEhpB89T93l/nu0DDU0LFU1w9GNEIEyP5/UPTJSyzgj5V2Eg+jrcMUqs7Byq7Bis7B2q7BvvoY3174gCQX9u9en8gssxA/uhZYoMHAFCA4n78170RiKyDjGF0H4c3zB+F/hd0IfRnFdctfgX0312g5rFA2TEgs5Hw6dPHE+j5ZCByDkv2hNX0srvYYBz2QEza8jPtgJhs4T2jNipf2yEVWWmxzux0RecQb2Stf5WhCPqbPiHZfa7lnPioY9TqtzyHrLLc5pRGB6gd4G60S0FWHltlfPZh4yBRo5M3yv65OUBCwVF/zDavCPrL2ge/2uwroeTy1ZYATZvkDZanN1rEbbA8q2Z54ZudIeKKTou1fLKKXwBA5PXKf230mSdn7XC+dBgFAOjg8NZZnhVTdP73Vv8bxW2tbFQ/NAdZbSp55HxBD3ABmADVw/CkG2sTAHEvKCxzBPqLx0H/HDkh9LdR2euskhBJM5nDpyoHhQ2Wkle6eqeTjk38w+o2otz+STmfajh+uClsuWnmYi2fNXu86wdpU3Z5BoBfeiWy5ujijX6n7ghFzQOgYviRyGtzFBwRWdvAtGI6hpf04kt3+c6VtzsY/rgbAw7AAA5Pe6CSBn0CwAAah3k7vW4gUpbf7gxPLWwhWFX3MJRNE5BVlrucU5qorJAbdX9f575I2TK1rIcBwAaIyet/X8X+X2Og/311t3kKtg6xWTAGTYKvPP1Aw11izeH0omoYWesnrP7wG42ToP8BMWbkVr78UccPWWFpF5sNAOEZRe+ruUnI2p5+3CAAYAJ08KGgG16wYRAFHKCNxiKg39DnEqGZk63+hw2D0ofjkeWGx6PzJ96SeOdpJqu/tm0g5NIDLcfL4qq+E1djiJUHFffdbsmtFMZUb49Cv2huWdfecyH7WXblYEx2k6xBmFN6mfHpkvfX+oir+oyFfuJwJ6Lqh5ACP956atnRS7/uCXdPrdzret40LNPzau33eyPFVYQr7yPe30KQtSGIuv8Haq4eV1/mdGLSRhESyu6IeiiiHvLe2qCvd0Qu1Ytauj98iV7Ut7ujF20IESKjWsAiZbvE/DL3jGeIsrfYiC9+cTX/DzRcXdOqugUQnfX87xu8hBMIVb8P1vs6n39I1O1OedN3WzzFVH2Jvdn3le1jH5RnvaD9pn9KTMlNTCNYTCNokVboN7pRS/Wiftsf+atezL93x/5NM1hcIwTRCEdU/L/Q9knIKbtV1/OvLeFiJD8xjWBEPXguyTP46nMCPcPTCz7b4I2ojJw7UgtZqO55LDBzCIeyPspP29zmqHiIXF4j6iGIWhCiRqxxhYirByGy9vu9r7SQuTBpLXgWt7pwAOhg4rruaYik+TwlV4OAmxW99CE2r7yXu9vnxvtqbu8pORz0v0FFsSEeOh30I3KO7hcewNTQn7NAw1tCyU368Oln3TSKALvdQP5uqzciY69iEkvFoJONG4fnzVGwF5O13+aS0UwVsPhY3J3yrzb7ImvMTUJv9jAFXICNluGIpNnKUeh/8Ymq7ZTQv9UxlSwANgY2p24jq03mKjmZncxvpnMfvKDIGZ8UU3Sap+I2+YSPACAp78V8Rcf3VN0Ph2a10zmtdFYHjdVGZ3XT2ZZnssXk7BBpG/+0Z1yAJ23sVXphYtKWP+qGZZYPtrK53mnFn6x1RhTcvtrqf63oJRWHsBsN86SOfLbBJyCjlIfjAxjucCrnG5Kx9jHfp7UvgYD+jV7vSR9JLWkRTIJ+BuBkPm4dlz9fxmzxBm/3S8U0nqCeItgfkI0sPfijjl92aStR8tyKjt/2hSKKnuJrw/5Gcj0SmNHPnvr0OQPAL70CkTT5WCvQ9vzzsm7u40bq9ed9R8Nvf7bRQ1ze/stNXg9qOwBgAAMNk1AJWetf9oSX9jJ4AOV9w8r6nks3WVoGnMcAmin8HV43xBTsxeUdDgXd7eCgDD4WdOXJP9Z7IVKWzmfzyThudybvA5Lzhyq2l54PswA62AJd7+vzlOw/1/Y+dacRRqD/PSU719M3YQz0R1x79rGmN7LGNCavgsrlMzE8qaBnLPTDGOi3Pf2AUEUR9BMLPrfKOpfui0BWHtMPvddEw3gAZ+5VSu3xktpukXS7WABAWP3zlEehn4qDZ2qF2Bjof9I0LH/0DLLiiF7Q/dphPgf9A/Gv/3KaCfpLG9uVDPwWqtjP0QgS4g4pWORmAFEPm6PkbhV9r58tvMI23f4uB0WHWWwWH60Z4O1zu7RY2eTbzc5OaRWBt9u/3RWFKHqJa4zz5COuETRPzXvRhhBxtUAJtcD313pvcUl93osFpz+VNoo6XcqyvVS+aK03QgoQ3r1SJyIRhiJqvl9qeyaVDZ44X/bheh8xVWIlJOCb7WGBl5+201gdNFYrjRVxu+ZjDTdxkj+iHoaQ/N9Xtg+/U2mRVIoo+SJCOz1EguT75WbPtLKhXhyO+KctILkjpGDi3NE3O4KSC9qIMT6zqHaxuoOYqi+iHiZG8luk4nChsM4xrURM2QNR80fUg8VIvl9uC464Xt9KZXXTWI00tl9W82JtfzGSH6Ieiqj4Ldb0iMoqvFLevlDdDyEFIupBiFrQfBX3c/eEe4ZPm4ZkjGMRJW/hVoFq4N/Xe8VklbMBellsPbfkBapu4mqB4mtHJ2TCWQUpUELZ7Qcdr8uP6qdsX3zSp8ktSAzgZ++UfL7BFZFzXajh+2+dgN/2hX+9I+hv6t5iii6fr3W8XNglAOjjCH34TGn1e0xj9Vudyl241kdC1XO+qofk4fh9gTlL9OPnKDh8ouHml1qCA3QzscNheXMV7OeSPN9Xd1c1v7DH794Pu8LF5Bw+IDmnPqrFAbjCBR/z1YdiRVb/pyS7L7Sczz8cD/2rLbc6phLeBDIeV327yR2RdVyk6fftzqB/bfT+RNNr3lr/Oapu+pPO9Q+wuCbB18Vk7b/aGngxr04kK0INLhfUfrMtAJG03eGS1jhE5+Jw0PPCXDkbcWXPf2wK/G6n/ydr3T7c4IeoeH+11T+j8CUGUNjc/es2N0TW9tud4Rbxhcdii77a7I8s1dMyjaztGAaA0MzSz7S83pM+klo8DvqJBR+qAMUBcuo6v9J0EFdw/GxLkJZTurJ12sK1XshqU13XtJZhoRU6xMU1LRMQWVdELehvqi4J9+onAb/QSiNu886RMZ+n7v/hxpAvtwT8a5Pv4k2+89W9EEXn+fIWjmcfDvEwAOACBKTkf6LhIqHkonLivMul6s3u1+fLmi2SM3WIvg4AzWTeDs8bYvJ2c0ieH6z1XGt3aafvna91QsTkHP6h5X27vAUHCL1atljTbZ6CPcnm6qmHA8fjHn+0zlNM0XnxRp/gzHIAyK1uW6juNl/RzkUI/UL1jMuuWLzRD1FwXmYQt940sqi1O7WM+vVmbwL6WSLoVzVfpD4t9Pfx8L2e6chq04VqXjt9b3ul1yw/FCsmefwzReOciq6prX4Az9RKZJXxkj1h10o6AaCsg6FqloBIWX6hEy5jGHYhp471SmvqnaGZoJ+HYqlP6r7b5osoe4hphCFqwYu3n/p0U4gYyVdMIwRRD5dQ9rCJLxi7vzEWO7gAg2weCtA0SHUIT7WOuBab27nH+/o3m1ytLj0Pyun9Te+UhKIrscQx6rlTI1hC2eP3A1GeN7v+qROOyDv8tDPwWnk/C8XDLz/5QPaorl/2Hp9rCxTM5yo5z1Fxm6viNkfFbY6Km4SK2xxF+2+0HdIr21QtzknI2c5RcpFQcp2rYK9ldWZ4zHLHzWd1f1c0navoIKHiPkfRaZGiuUV8wQ7fu4icnbiyu4SKh4SKxxxF+++1HQq7hwYBNhwLfE/eQkLZdY6y6xxZC1mDsGedwttRqfkVi5WOC1kpOX5CsrY+80Tb5SoiaztH2XWOsss8eZu93lc76EIcQQFSn3R+tcF+jqKthIqbuKLTpyrWrufunM5/8TdlRwkl1zkqbmIKTovXuaY/qiJeYWCg63JBTM5WQln463dbPe9X9goAeAAPawY1Lc7NVXCQUPUWIwUgaoFiaoESJD8JJbdF6u6r9cMuP6kRYFOb97OBfuJJPwc7FpK1UMkOkXNEpO0ROSdE1gGRc/hUw8k87Fofmw8A/SzeLtdkseX6q3RdmulCTMwqqvpE/hiy8qjnudsA0EzGtC3jkR+3b7FNbOxngtDq95pPcpe1SPtkveccBRtE1ma+vLWWRfwLMgYAXUzscNh9CWmLb3afWn446W/K9hLyduKydvPlLA/6Z7VRuADAB9ho4ocsPbByX2DzIBUDiM6q/EjuyOekExfzmgjDpKFnaJ1JBPKr/hbrMxQeAAAVxezjcj9QtReTs0dkbD9WdzQ5W/mLUTIiZ2/gd6Vn/IJPbffgim32yO9GkgeCGnqJe7C46MpifQ9tnVkc8tvhb9Za3y6tB4CC+gEFw8i5CvaItN1cBftVhvEHo5/P1/D7crPvtaKXKABVgPtfKvxQ1VZCzmaBkt17ig5z5Ky/13ZJzCkjAg2EXXmyWM167vI9lwubiNM7/Ty+op4HsuqI/KFgmgAlZG536s4HqnaInJ24ogMi7yAmY71M1/fqk9qx9zPMo+/MI3kjKj7/0PIq7RiCia0shH4WgF9KidjygxLyDoisEyJtR9w0fk/V5VMNpwOeqQ39Qvc1GEALVbDeIv49Rdu5clYLlR3nydu/J2u+1iyuul8AAE1k7i7P64i05Q96p5cZXZivaCsuby8ma79Q0co8JrePiQFAdS+qaBQ+R8psnoLNhypW/1znuNoodpGq3QLFE5aRmQBwv6J5oZzZ3DWHnWOuwBjov1/Ts0o/HJG0mCNrs2ClfnZV0+Xy4a80bRZKGkRkVhBt87i5/yMZ/fflzWxjsgk55JQ3fKdlh/ykZ3tS6JAmo6Bu+d5AMWmr+Qq276vaSsjbfKRmbxl1o5fFB4A2KuOf6lYSkqYH3c8Rm5kMHLwvFiK/7PxFx+P605cAMMDFjfwzkNVHxOVtkeUHHeNzKf89K/7TQj+hHDyA0Mzy90muiKovIutudLbmQFi+uKITsVoioer7i27Q7ZqOsZrEx/EhBqt3mPq4ttU0+Orlks57L3p0XC5LSJp+vdld0+pMVH6LT/aLb3VjEKUxwQ4JT5kaIYiKz2JNz5gbZc1sdH9wzieq1hbhGTyA1kGyVUCSvJ6vkmGoilGIolGonFGkvGGUvGGUnJHwT94wVPtElPfFAm2reBmDEHnDKFmDUNKR8MR71fwxlcqvbFDZ7yZvECpnFCVnGKF0KMgo4Oomuws/7fBfui9s6b7QpftCf9P13XAssH6I0o/BQceT8voBRBYy+/2O+CQMY0JWN5/Uq+l7yRuGyRlFyRlFKBmFbjSP1zCJkTUMlzOKkjsUpnTQN6emR7QMyAe4W9657kignGEwkbuyQYBL3K3I65XSBwLljCLljKIkDwTvsE8oHjkXCAAep2/I6AfJGkbKG0dJG4RvMo9qp7BhpG+Xt/WSjIO+2Ow3n+Qlpuo1h+S5WMvv970BRwPTn7cJXS39EVuEyKWdhrqfzZHW8/5pu+d3W31+0PGWPeDnd/FBH0u4ZUhm8+zCL6/ccmKXVUAnQ+ht/WF5ndJeuxVbreOv3scBuqiCE/4Xl2gaWwSltA8zgDjXT3L7mGSd+aLP9OSNJdtdf97qsss+rqKDSQiti4EdDstFVhxWNk85W8w85Hf5R23bX7Y6HQtMre+jwQhuHfeKXqZ9XNcmsotMxwHS7lcq7LFV13e+9fQFcbO6dYBs4hn/y4bjFoEXRUELyBhEZj5VM/ZXPuR/MvN5cS9ImZxHpG3MI28PsERboTgOUNTQo6BrsXSLlVlA4oQLLITt73Xm1q/alis3mV7JE4Z6Lm6hGPsmy+733O96IecFK/hm83sk96+3+N+v6iU49LOxwEuP1+z1+GGL2/ebXJQNAy7cq2aONFXynWLVg+6rNx/LKW8lcqLyBQftQ1Zus9J3OskauUbTSeM4xd3+fZf791s8vt/sstYkPLPoBW+8c91zeS+/1AkVk7Nfa5XcQplyZw4AgANw7mbJis1ma/a4rdzrtWKP56p9nmtNww29kxLv1PQxx/mzQwEqOtkH3ROX6rh+t8nlVx23/S7nipuHCehrGubu9MpCVhhru2QlFDN3OSd+r23/q46L7cnrItUVAFwvbFAzDvpe2/G3rY7HAtMKO8l6LqeWb7Uy8YrFAZ41tMnudpTcbh2deks0kuEADBz8LuYs2+H6wyaXNTts8hva71X3rTPykN1hcSmngrhXV9ExqLDh5bPpAAAgAElEQVTLXHaPQ/ile0SBn9Y1bzzi9aPmsfDkmwQfAQ6ZhQ2appE/bnb6frPz77vcHWJvdY743+5hsEgGbqt22LqdTCEesXA4c61w2QbjLSeC8itfEkyyS+rUDwd/t8n5p42WoZfyaWNixOETrKt3bELwas+dnXTcOOS2hJw1ssZmf2TBuRLqisNnEQVPsbVhEupB81Rc5Q+fulPVSR3pTiwM8kur49LueJ+5tfZIyNKtjlL7faUNoxQsUixTG+OfDewOfvDxOndxVU+x8dd3xTVCEBWvRWrOJhE3yQKUAeCf1bRit8fzDqoAgMwRNPSyqvuwil60og+t7Mcq+7GqPqyqDyM+V/ZjVf1YdS+/cRitHhh9UjuA9bJGjwdgAGSuoLaXLXqxZgB73s27X0/NriZn11CIvztVgwV1fcM8AROgaYBTJcqxF305zOOMIM4wB63p4VWJCjCAFbWySzq5VQPC4tX18cg8QmsxABAADHDwun5BtajAfYLGQW4LHa/sxUSVahjEqSPIgwO0DfMreoUFqOjD6vsFHGz0Vxygnc6NzKo64HNlk/15XY9LnsnFz7oYLBwX6eEf1zoUgAXQK8CedfOyqyiPmtldXIw9Rp/5AHQMo6AYFcM4I32bjeMUDBtGMSYujKlCxzAKitIwjNi6tIjJWaTq8qny8afdA1SA6gH0eRePjOICELLuZGCHw+6LrTRSPHamoBOl4nhFN7uyn00fWWzBRrIeRlEqhvEBBABMHCdKQghBMJL1MIrSMUwAwEKhuZ9a3jlQNUDv5AvIgHMBKvqwFQbxiLSNW8IjCg8dW3c2jpNRdAjF6Dg+4vxx1HcJBsDE8SEUI6MoE8O76NzqroHKXnI9jdsPOB2ADOCV+myesst3OoHPhb41hdewW5no/XrW45esTjbGG+FIMBzGMCqKsnGc8ArFA6Bh2DCKUTFMMKJRxHWkRgrvXg2tpJPVj2KTT+9E3qr7TNt/joy5y4VS8kT3DaMkAGDg+DCKDqJYP/GHYcMYxsDxyZsDOIAAgIbhlT2CnDpaeS9KxnHBSPlfDHN3eV1Dlh/SskutJMMwjj/rZFcPcBjj4wrwADo4WEEzo25IQMGBA0DD8UEUpaKYAICD42QMI6MYE8f5I5yJfFkANf28vHp6M4XPwIGB4xQMo6IYE8eJGRIXgIpiwyhGHwkGxsVxKoYNoShzjE9sHkAfHy9qY+fW0+spfNqYAYYLMIxhwyjGwDBR7A0mjlNQlIJh7BG2fIAOBp7fSC/rYpMF+FhHDv8t0D/1bWOitFXtQ7pulxaqOi5SdnC+XGR46uE8kiei6iO+NkRCPWiuise3OsHOF8oet/Q2D9G76JwBjuAlGcur7k993BaRVRN4te50QXfc0y7d0MLFW0PEVD3ESH5iGkHjcT8YUfL+UMPD0D+1k8UFADIOx07eVz0cyBrpZ9hINE7icoBgzFfRHzbpOTbevxCGC7+ik7iN/Rv7Kz6JIT6m6+NTFWNsyrG5T64IOlVJJjhEwiYVbCxDdEQFOQBsAA4Ad4TJxCNWQiN16hCMU7T+pMgb2HjhT6iaiC02XvuxMT1K9ATGQ39xZ/+EJiOIgH5kpbHi0fiidq6oDOPadHzuY3PExj8XZT3EhWP+qYtVzKSMYpMeNzJwIONw9n7TVzphiLR1RGbF2ECWY03O6fbxxv50vbht1W6vH3W89/vfrBnisAAaqNydHlfE5B1/2RXQMnJCVlRmkTzxSQzHihEdr3hjk6ETOOCA48DiCygcQQeZuckpWUzO8WMVy6znnYKxeY//LJIbNknIo0lwnIh8KSoGOkYZMGFaeDHM2+V1DVluuMEmuWZ4tJBCMY6JRYNN6i8TKo6N14cJL2LjE0zuOPhUTyYIGZ2qv2Dju/BkmU1OOYH5O06vgv6Rzt9Gx32Sn6gZBWgdjwq8Vr3FOXWOgj1C8icuvkqo+s1Xcv56s4e2beLhwCzH0/lBGZWR2c1+mQ3WCaXbPa4v3Re2SMX+PRVXMTU/RD0YGbMniWiEiqkHIgrOX2h728bldnEFANDNRM/m1P681eVIQOpUq2fTSfh1JP8KX9NvxPNNy/KanCdEmMPGxwWZuTzY7KF/Ohaj5ZiezeTjQ5MD42EA5jG576u6fKJsVtzZP2VWnQzMOCwPWXlY4Wj803bOxGK8dk2EqQUAHgl3xFYeRmRtpY3iPFJK3dOqVx48OVfe7lN1x7uVPbPkOmW0v6oejox+ELLm+N9UnQ4F3wu6Vm8QmveJhqOEjNUW+wT6LMo/dVDZmeo6ApVjEhXVtPgm3t/ikPzJeh9Ezk7FOKKxnyzKYFSLZuA77iccAJuxzQnCAODFMHen13VkhfEGm5S6oZnTT8tk+rLNotUnJ8Fm7vKvQ2/af94pmlWoFtGwQOVDUx+bjMLTpv615ucQeWeE5CeuESyuHiyhHjRHzVdc1VNC2U1CyVVM0UVc2U1cyU1M2UNc1WsOyXcOyV9CLVDkfpIIyC6uEYKo+iFyTj/vDou5/pyYDz5t7j7kf22BjPGSbc63ytpH5tcimmD3iPrJDDbZbGkqVhgANtZOmel14m+8hk2CwBm5zE6rZhkjc0pmr35z2v422agaMWDxWZVqAlDiACbhNySkzBesMXja3jsuKSaEmE46auB/E/lRV1I/rKiVOfbd6Ys6Rb4j/6MiAHhc06JkHIXI2CLSdoiUNSJlg0hZL1S2NQ6+3jONx+bpMxhTcAA+gMe5O59qOCEy9oiULSJljUjaImvMf9P1u/K0ZcrrVK+X1yxwDwAu55V9s94WWXkCkXFcqOIQmVnC4I/T6pk4vCp2+cz0Yoi91ekS8v1O9eOnawdf3SvH5TVdBUXjFI69KnbZVGxfRdg0I8N0TKaLf/xH5PZX0hvF5gUAgMcvBjWtEsTlrBElL3GNEGG8lLXhiEYYoh6KqBHndsKIY5diGmFi6mFi6mFCN8IaYYhGqJhaICLn8CHJWe346czSXjYAG4fU3OfqB91/1rJaezT8VFYha8wsckz+swTh16kUPjmLiZ/fINdxjF5pZM0mj9ehScymjMn6xmWYoY+OSOxV3SDmauGG41FbTAMbBsb7v8KFED3EFoSlPVHR9zwRlN7Qyxr7+6RP0xd0dEQXlg0nwiaXde5ySZI0iFq6N3TZ/jCFIzEWUdfrBtgz387BRUEupyoDMUJ2M8E35SHpeOzyAxFL9gSv1o/Utjp7IbeK8RbMk9lCf2Fd5xaruJ90fCUPRljHZBMRCPDRJLPpR29IPTSuZ8J9pQOeDtE3OqiveerlVWqF45OtkFexnMUVFlG2kxLPuj/8d2C+kN4E+mFEfUtbB/f7ZHys6YnIuiCq/mJrg8WEzh5CRmJFhRN3UIU3jIR/wYiqHyLrIqbgvFI/yu3c3RcDfByAD3C7qP6gU7RjTNrVR9Wtwzx4EwgnXniFUfN/kl49K3pLSDDTvpHw88gsisKFXgbaR+dzsVF4HvkPAwABDhQudNP4gyxssufRNyRc9A9QBVDRRr33vOVBVUdjP5c/UoFZMZnS6BvzSzuFV1Dfc+dZ87PmwUHOaIIZSvUWic7Dnr3ovV3cVN5CnrRSRtCf1U34OAxzoIfGH2JjPBxwmH4O8WeNPq9FM3eN/00weUPoh5H26uZAxLUSFZPYj0iOiJQlouCMkPzE1IPF1oYhGuGIRgTxJ6YRhpACEEVPRMYBkbRcrOmmanrG4uTNh/VkUTxSAY7fffSsoZcpOrnxhsXC4R1RqHeMXi2TtyS1qdlMfjQNck77+1tr0bdSz1cxmWaZ4HVf+FPpz+omM7XixKTTrJv8dfTK2c//Jpj8IegXyaOigxySlrff+8pqw7gP13kjss6IpAMi5YRIOyNSzsgaZ0TS6T2S14+6J0knkg4FZERdK6juEa7bTrkL/9+1V/5u0msJ8D+j3VPMrGdcgJ704e2UYnLvf3viwF6f7Vtsiz9xTWc2ueMTvk5ZkP+sTf3aa0f/M/R60D+lGomeDOGQVzd4MqvYPfGeZUy2YeCN/d5XDQNvmEdlO8Rnh6Y/ufq0tbybT/2jZX49ff7fHLJnSZMrP82s6I2khMMrNg+mbqkpF1Vx/DWa9U9v0NcUx5RpJ2wJ4Dj+LujiX7EJOaGar7Dr/yqhTDHCAy569J9ul7+e3gL0wzRDJxtgmAuTnVr84aZ+vYH6Hehu/yGaEkuFT96KqfXKc6KvgP5xD/+79sjG00zQP9U492p2f5ow/jLoH63+f35JBwCmg/7Jn/6v0GygH59abJPn629KY/lOr/YTUk1M93+5FaemmeQwS3SZGbunYTK1skzD8HXt6z926HDK0szml1dVdeZM3lqx3tarM9hwrzH5mpHhjFcT3h17bDY1fp3STpt2diD3+hm+Mc0S+rHJK/CvnsZNqsJ0/XZ2Uplk6f9/6J+Z3oIcpp5gvUIzXwH94xm+G9A/iec0V6GnYDDTBHTkGOJfR5N73HTJsGma521B/8QEOC5a1BuR23+AJpVzLLhNR68zRZ5WEGOZvGrR4j8F/VOpy5vpw+vSa1pPE9rwXZhUvnM0ueFetx1flfi19WIGc/NPJlxksIzLbswXkT0z2/JMrXXjOM48MPx5NF2fFT58Zd6iUXb6O01/ZIAYXV7/6/vtuA2YV4PblNCPT2eHTNq1Gs1izMg3c/neFat/lP5kZX1NQ2Cs7fj/cX9qmmyWvu0DFW9HTf+qYx7C2/xTnrvB/4CLi/H0l3TdWRRiSuvyP1W4qSZ84/5/Z2k66J9BacfZ+EKPf69hULx70A/jQfbVnkZeXYexI+Q7rwP/fTSuv020R6ZpnWkmxX+BifqX0XR5TaXPr1L42Wb4Cqn/GfTmWc68sDa7y7GT3f28zcW616UZ5i6jADRtYIvJOjBzp8DHVHYW0p/FHPGt05uf65+OXh/6/0RY+T8/G5hRvDNB/8RO+xpZztDH3o3m+JOKMdPCiGhmgePT+Yr5E+k/YOgTHj7fieZ+Jb2peF5hKMz8cEKCv15Wbwf6XyG78SbPn0OzMl//P81E7wYu/zX0x08cvl3lGrP6DP9TlxpfJaa/uJJ/gv3xOoowY9q/WBQzRemabDGKvk6owuyhf0oSafrrNgo+4ix7guduwXhf2/8r3eiP0nTzz7FixEcmq6/FdrQFxz9/Z8U+tsqToyyI3EJO1hxsjF6NY4iPymHKQBH4VCsFU8r5j6vrq16f7baKCATGRhSYTfHGVXxG/rN1wvlWCRtTtT9I0/Um0U/jJPbuQz8OIAAY4mJNNMEABxOpLA+gn4O1UQVDvCmCAc2WxtcfBRjkY21MQT8L5c7kAH6ibPCRuEI1A4LHLzktFB4Lx1kAXRy04CWjtJvbz8d6WGgbAx3i4zP7YvzfonHYMtYZLQ5AxfBOOspGR5+gAAwM7+LwGqncPh6fObE/COU+g9IKAAb5WCcTZeLj+jwHhx42OsTGpnxxhOFfd49/5KglBoDTBVgLjd9I49XTeI10fiMDbaDzG2i8BhrvJZ1Pw3AKBxtkohwcJmgOD2CQi/YxBHwRUxwHABSAxsfbGWgjjd9A472g8To5/AG+gDWmJfg4DDMF/UwBd2ydcWJ3efQbHcU7mSh9+nBaM1RR1Fii8CNTphjTmjPtbGMAHIBONr+ghXm3hlbZxxkWoILxrKb6AgIAGh/rpfFZfGyG1kUB+jlYDxvl/emwN9opcAAuhvczBMMcVOStb0pZzUwYBgNMtIeDcoT8hXUghNbLRAfYKJmH9dD5bGwC83Gjp8iSQPHZhN14azSt1U9m8bzPZH+petTp5FXRQzqAbWjq98r7g5JyKfzpXp2R8ClQ5GRGvvRue1Ov+D4ac5rXpsaeAS7mHJ31m7bV0k02O4/71nX1XituUznk9+MGC+k9LvE3nx20DZXbfuJ05sP/nmjJf5ymsMwI4bFw8DxzXd8ptn2AQjzHABoHWHZhyep6DvK7bTSN3aIu55L5Y2LYzwL62Rgek1mguM8xNOUuc0yyDgrL0P20beC56Ur5F0P/mPkJPC6r22zsLrPDQmaPw2pd1+U7XSV1neX22Mnsstxs4l3XOxiecOWIQ2APjTGBBQuFiAs3jG18hsf49CeqfONhmYaB+wode5k9znK6tgq7bdYbuvqdvdU0yCLGj2EGyzUg2s47bGK8Q2zchLegvlvTyO16/tM3qiCOA7BR9G5BeXnjS5jUapOgf+qWJRSol4lGXMrTOOiyWsdWcqeD9C4bPYeovMoe7uR+PInLnSfPdhrbPnpWOUNx+QCO4ZeOeJ4eYEwbMfgtkbDpiXG6pbvv4AmXU6m3cAAUw+48Lq1o7ZslRIgmajw+uEUkbTELrGwfhPHyrOpibTnmfSo1J/VWga6x/cuBCVo0cRrQOUS/X1jd1jPwx+s5e5o2StcAk28afA35fu9B7xTRQwrAPucE5Fst6+icoT9k9o/Lyy3x/sdKpltPhLeT6cIUMx4oFtGN0pe/bvf8VNFkv0vCmasPuznczfZnkTWmSsbhzrE3HtQO6Vn7r9Y+HHfl/oxW/ytmse/O/uRkmmXBUIA+Ds/vcsFXGxzlDEKb+oWOlPqZnD2OcYr6Xuezy/KqejzP3pbabhGQeIM/Evl2qpF6IjEx8E5+skj28M9bne830EWibh5irzM9udc28k0rNxO9WYuI6tLWO5x8qzA+/UHCzee7XC4tVrc5Hpp1/lbx6Yy8lDvPOhgcu6BzGw2d2qn0CRy4GFzLexZ1Lo3B5o1lCwBJtwt/VD9i4HvlzO2auIzHwQm3jvtdWK7jtPZwcE0XDQegcbkXM26dS702c9e5U9nz00brpOyHb1ZBAMgprtLSd8x48BRG225mcU28vwYAnXS+iV/yD+tMzQKSbxY1FdT1Jt4u3WAS8vtWu7QHdZxp4pSI/iute+EXlVD9onWGjLkA+m4JWmZRPfQ/Dv2z1QccoHeYGhp/8cajEgCofNmtsc82+cHz184Ph5iMR/9SNUu8PXGQDkot/EXL+kFVW0lVk39UYi91usg/OHGxLvRi5hYjt4aO/mmS/Sk0A/QLjkfcRX4zORh4TfSQDLDf6xKyZLd1/OMBHgAADkATYN10dhuF2cficcf0LhRgmCPooDLbKIweBocmwMcugNJRvJPG6qQyyQJwTnn+6TrnbdbxbZSJVj+BymQe2kljdVCYvUwua2Sph8MTBGYUL9JwXWmUkFnd183iV5B5ywyiETmnoDsd9TTOIAZV/bTCjuGXDC5/ZBZMFWCddHYbhdnN4LDwUdQXAAzz0HYqs4PGGuQK+LNXpXeAMAAGHx2gsygc3pTGS0P74GG36N93On2zzV/V7NyLARrxvLi2U2qnfeydOmKdp4OFHvNPXXs4sJ1FVH9WPtUYGHilPl+s6fxvbc9tNnG9XAGRvonMW2+VsN8pHkbanSHAO4apbYNkMldAQ4HM4fEwDAUgszg0nkC0lMzk8cksDhsHCodPYXFEk3EUgMEXUJgsHorhAFyAAQa7fYDcRaYxUeG7fByoHB5dgNMFeCeF3jZEGWTzRRzwkSwEAFwcODhgAMGZz77d6nu1uBEnHgJQAKxDkrVNg+op7B4as22QMsDiEnHkeQC9bF43jckfe+gTAACS7hX/rGmW+KBUAMDGgYXhgzzBxcLuJZsdzfwvDvEFHMAHGKxeOpMNwEJRCofHxGGYw28fonSR6QxUyOdO9cAv273O55ayuPy2QUo3hc5E8SkXxFEAKk/QMURtHST3MthE7+PwBGduFa3Z4RSd9YjO5rExnMzi0jHoY3G7KQwmb8qFpIkTLwEOYWkPviUdC854ROMLCAGyAWoonI3mkbK6jhVdgxgAR4CSmWwOJtQTPoZRWRwGl8cFIPP43RQ6jS/gAlA4PIYAY2DQTaF3DFGHWFxi8OMAHPS+tNHuwgsKt5/KaBuiDLF4otjUhLQHGOz2QXLnMJU2snaEAVA5XBofo6PQS2V2DFEGmBzeNJNHHIAuwDvItNYBch+dxQZAAVgo1k1l9HG4dBS/9ezlb1tsg64VDDK5ZBaHzOLwAMdG4IItQMkMFn+aheiyTqbcoRAT34vUMStWLAzfZB6+zf5iO53L5PG7KHQ6JgxYzwPoo7PaB8ndZDodxQnYYXF4ZqFJ0rruuZXtbB6fg2JUDo8BMMjitQ2Su6lM0Toq8e8wh9cxTGsdGO6lMhioUPJsAUrm8hkYDLF57UOUHjqbQ6zEMjltg+QeGpM9ST7TLvgIoX+Zyf7A62wcOBgwMejCYLdnKrJkr9UI9LfSWW6J+bKGEUt1A7bYn8941k1HcQyAj2FPm/sO+mT8ttt/yS5/lWOxrolFTUNsoqBdDI7XxYJVeoGr9gdYnineG1b09/UeW23iWymMCea3AOB559DxyDu/7w38Qcd7nfm5+DuVg2wuChCd9eRrbbd56t4fbwpfYZxgEPFQ0y5l0TofcZL/L/qndb0zaobprvE3dtgnJuW/5AGgAFW9VNvT96UMwr/f5q16LDb2ZsUgh0tsNJW0MQ6HZP+222+lXpBR4LXCln7+yIGrMQbmX7k68WoSgTIbIPVBo8o+R6/TmWwYtzxNpLmQcfughfeN0haj8Hvqx8809gkXfJq7hpJvFrRTUWJUpgE4n7qlqOddPzwxiynzJYiBgVtS8S+6AR6Xq37TtvQ7f5cwcpqGuZqWCXrO8USyFgrH41wuyShI81iY4+lcr+SnDqduNfeRuQAnfM+duVVOBGpgo9jFrEeWfnHdKJzPqTb1iGvupRNC5+IQk5nvFHK+n8xg89FL+TUHXBPXHQneZB4deOlJB4WNAVBQ1PdMVlBqYdCVMl3ns8oGvgbeqU9bCA7YlHOFsGvF3231uvGsgfiKAdABrMIuKR0J985s3OeeQjIM2O+WlFs1iAIwMIi7WWEfmjzEHB1khdB/t/jndceSHpSInmAAZIDDXokrt1hWU1n9AjTkXJZPfDoHoLS1yzo4Je5OvV1czgbTcJKhv/+lJ/0cHgDcqer/ZVeAzdl89/MPNI4EbzAJC0p52MXgTdA8DKBxgO586tb6oyHqR8J2u5xPyiljc3lPGns3WsT/a52NjEFoYk5dYz/fOjg1OKvqgF+mmmFAdmHdCPbPpMw1fRySSfQu21M9DBTGD5lZRS9+22QTcrWKgkN+acMx15jaXmFcs5aBYYegs+eu5uIA9yvqzTzjnta3sACCLt73Scg9fbtW1/6MmlGgnkvCo8YeAYZzAfR9LquYJ3mlVe13PU8yCjL0uFjUMEgMDCwMv/q0aZ9zoubR0LVHQ5zic+v7mESJQ5Oue5zNicyqOuB2Uc0wYKf96ZzaXu74xiXK3EZm+1x4tP54JMkwYId1bMrDGpYAax2g2QQkXsh7WjokMPBK/QfJXMYoOuTK8+j0hyYesfV9ZOJdJoolZT2y8YsbGs8aH/mXB2AXfUVup11RY4dIoHkVrau328TdfUEDuF1UbeIR20RmYQAMFE9/0qLreHb9sdAtFtF+SQ+7mGwAuPLkxc863l9ucNQ4djK/tv1pXZt9REbMnRc2p+6pGwdqmkZG36gY5mE4AB/wkuZes+D0TRYxasaBW8xPBqc+7uPwAeBRZZNNdHb4jXrLqNsaR0M3W8VnVbQ+ejlsFZFFMvJbbxp+paiDOX7b5VXQv8ZS2uRCRFZ15NXi8Mwy38x6qcPxYisMreKf9AmAzhMc8rr4iYrFsr3+pONx/97k+pO2XWpeDQrQPkzZYeqzWOHY6oMRKmanv9rqN1/K1DHuBg5A56E2JzPflzL+apOHqknUmgPBi7V8Fqg4b7dPaKUw8DGSxQCetw3IGwR9pGzx8w7vFQeCv9RyW6xw1PH0DRoPDbt07x9q1vPUfD5a7/fDTv9dnpcVj8Ys1PCUUPP991Y/LatT5X3kLeah/1S38E0rEQA0DjC0reI+Vj6xdLe/1KGIz9fa/V1yX0DCNT4O5a2D646Ff6BkKWUUpXg08vN1ttL7fctb+yfhxDsH/QQxAaIziz9ducXYLYY9HpcJ46WXwhpm83gAxyOuq5nGEtCPj5zcEIy8UvyyT/WAxyH3eMLQgNlBPx0DlwtPV+zzLRlgHA9KWb7NLqd6EAAah3malokE9FN5qFVYxu9bLX2Sn6QV9Rj6Xfp6g53sobCqriEmDkp7XR1P5xOB/OgC1CM6XWWvdR/Azcqm1dom8dfyiezqehnrTMJtQlNxgITsp6t0XUxCMjNKBiKuVynsd7UJSenl8MgAu20jft9qv90xMfZug3dayZLtXtssIhiCaRsu/OrT77d63iypJ76iAAwAq7DUf6+3VDwSHZxZHn27QdEwYp2xfx9DQMbB9tR9zUMePbRJCz73Sn7VPJb8oBjGQD8XIOF6ybLNNhkV1DYW/7Dzyb3WgSyABw2tv2mZye33sorOvpDfesg/8wsN85greQBwp3pwhV7Y15qW5hHXEx+0WkXf+lnrROzNiglOcIfYAuuoG1J7PU/de5Fc1K/vkayyyyqnqKyLjdvE5f241fVw2O3STn5NL0/dOOhrbTddz3RjrwvFDd0jgsBm0Ofrz1u+WO/smZA9UpfRNh/igqK+/06PjHaW4EpOqdQ2y8I2YXilqs4+rUOuzlHJAJCSVyS37cTNokoawNHAq18qGu53SYi5UR12tXz1Hq+NZtEv+6k4gL5v+j80XdaaREdeKz95s17pgLfWUZ9uLghw/HpB5e9brfW9L6U97Q2/Vim7z22PdfiLPioAmPif/UrVWMc2NiKzPOp6tYx+oIK+b3P/RH/w/Uy2ecCFVdvt/NKepTzu2u90bvlmy6sF1S1DDI39ju4XMttwCLpS9q2WvUHo3fuNrOznnau325y6VcPBAQDaacztpt5W/meZk/qU6N/s4tpVW8xPXssnLEgegGNUqvoBl8qeIR7AucyHkltPlA/QWTiedr9ypY7ticib6c8GgtJLZfZ7WqMrwh8AACAASURBVARdZPMElX28jXZJv2738kh61kzlZzwql9ntunKPr8uFR2dzm3U90n7QPHGzqBEDaO4fXrfPWsc8IvZ2w+WS/mNhN37e4hyTWQgA1wprf9bxWr3X3/7UndO5rWrHo1fv9thoFuV5IT/uXqPS0Sjp/d6NfcNjhTPTgo9ZxB1Ewek9Nd+P1Jw/VbP9RN3hAw33Beoec2XMLU8/7cXh6pO67ze5fr/Dr7CLwwSIzm39jGS27ojfAAptFLpLSLx77NUXTOji4TbnnyFLjHe7pzFxuF3Z9dueoI/lTWLuVLMAKruZsofjxGWsdziebx2/4DPI4dtE3Zwvc1zp6Kln7VQKQGx2/b/ULL/Z7JX2uBEA/K+ULlB1VTVNePiSTAG8oh+WH4xF5GwTH/UMoHgnh6dlGvKPtbY+VyroOH72dq34mmNShyKftVOoAJFXS1ZqGTuEp3QIwPPCnXm/79vpea2RBQyAg0E3FsqZeSfcp/LfIaCfgfgApY09oecybj0um7D7PhamMYDjYddE0A/jlbiqm7LN4bycnuej6raZD/BN+ImOgevFpyt03TrYaHU/TXK/7xbzqCE29wUNXWd1Qc8lHgDuVbSu3uMTeOk+0UP62Phm69O/7w2s6CIzABT13B3OPB6F/lNXlfbZ9gE0kem6J0L2O0QwMACAtNwyyX2BV4qb+7n8zSaB+r5XO/jABWADnL9bIaVjk13TOQiwyyp0zQ7b8n4mD2AIB8/k51I7HStahqarztTQH5z8k+aJm9XDbAA2wMWC9tXbrB5VtQwB2MQ91DT06aGNSBqfFvoJwzDjYf3vW+zOPe5tYXKNXWP22oQwAPLqW34kGZsGnGcCoACVg3zVo9FHPRP4AHfrhn/T9Tvil9bL4OEAFIB1JsGGAVf72ePatmWIoWVxeott7IthOgOgncpMzLhXWFkLAOmPKuX2uF7IKwGAxn62smGA6vHTtQMsfKqTlFOO7ikPKj/XdIq4+mSyuAQAakeC1S0SmuncK/fLJLfbPGkTzoCqOvu0jDycT17CAZLziuW2W90sqqIAGPlf+V3b4n5VMyFen5SCHzc5F9S1AICeT/o32q4PG8kCAA7A+dvlq7Y7PurAmsj0PVYhOlbh3TwgdsWvFlQs32ASlnYXBzD1P/utiuGdyhfEcZqo7PqftGweVXdOqFdOdcsyLdPwSznEKF3dMWDgFHXmWm7TEFtNz8U58Tof4FFDr+QOx/jcMgEAHWCTRdQOx/MDHB4OkF3Vs0bH4m5xveik+AT+ADDIRHfbRO5ySe5koADQxsHUDnm6RF0h8wQ8gLPXHkvqWJRT2Y10htZhH0PPhAEAJgALID63Qnan3c3CGgBwis9Q1fMuax8GgLS8sp81TT0uFgzjwAeooWFSuvauJ9PJAryorsvGJ6qpn060Ql7TwCr9SNPASwCQ+bTx7xp2llHZxHr4yauP/il/yCe5gAbAA4jNafppk11hwzj5vAr6Ja2XGJw1j823jMk1P5V7JPbhEv0Y8dWHLc4U9wC4nbn+Ccl+zdHEmOzqywW1wdcrP5I//K26SUknhw0whMHTtoHkRzWO0dlyh+MQKdtNtkl9XIi/V7lQ2UH1WOzzDmFvPB6du1DFeZvduQnQ/2KAIr3X8+/r3H3Sy4nCtdJ4u72ykGVHXc7eA4Dom8/fV3Vab36mtocCAF1MkDwUIy5jdb20Fwfo5fI2HA/9xzp738yaThb/ROg1CXmbQ8HXQbh/AL0sYAG85OC67unIUr19AbeSChouP67TD7j5gZK5tmlIG3l0l++d3emFEft9JituJNmJ0Myx0C+isvbBHdaRq3Y5pebX4JNsnF4y415RfWpuRVpeTWrOs+7hceYVHQOXC0Urdrp0UDk8gIS8pl82nAhMyq1kwDrrZD3nOAA4ffPJGv2w7PIO0VtOp+/KGceUdQzSABQOeNqPQD9NgHrFZSrp2fcAsAFiLj+S1PV81MrmYJhNcOpG8+hOLuRVNa/ZYb/V6VL0zdqYyw9OpRe4xNz8TsUgLLO6Q4Dvtw/XtQ7r5fAAgANw7sFLqR12hbVdQuGMi52Cw1TQTwewDL6ouNepiUInJPCwuXOFttmV/OeDADbxBZpGvj2iaOMj0J98r2SJ5rHkvHHQzwVIzH62dJPN5TJKK4tn7Bqz1zaUDpBb2yy51TLy8n0iZTcPdrkkH3SKYwDcqaf8ssM7NlO4eSgA2OuauM3hYidt3G4hlYsGpjz8fZPltuPBwcn3c6tb22k8YrkvI79Mabd9St5TAGjqZ6oc9DlxKn9wmiMsI809Tr3THtV8pmEfmp4/OT0TA2XDwC3Ol1uZgvTcMskddk/aR6Ff29jLOToNA0jOK5bfYX3zaTUFwMDn0tbjIS1Dwr3cc/ebft7q8aDiBQDoeacpHIlupwl/yqvoWKbjfKWKWdjSqabn5Hv+hkil28icLaZBRoHpVIBj/vFrDTxrugaJ9rr6fOg3Hefbxc3jygkQdq1SeqdDadOQSJJsAAFAVceQ2gFXl8QbfIAn9Z0y223O5pYSCcIzy5fvcK7o6KcDbh51e93RoCEeBtMMkMST0NT8lbq+9ytbASAht37lTtf75a0AwAE4k1Ugud2yjM4t7Bn+eb3JTodz4RllJ9Mex2Y9Nwu7/qOaYWBCJgC4xqWp73OpausHgLS858u0zK4UVQAABjAEuIaBi3XQxX6egA3Qz4fS5q5bxVXxV5+Yhd38eqv30YAUALhaWP/9Np+oa0VEwTIfV/2ubZGSX0LIJ62kb+k259yKjrGFH7fgM7Z6om1e/aDrok2PIYA93unIkr2Wp0u6AU6EpnygZLt4U9Bv+8LW7AuQPBiqYBSx1fJUYSu9k833Ol+wdGfgd5vctcxD5E1iEGn7TXZJ/XyIyCoRk7baZHehtk+42eh0/slH6q5bbc9OgP7a3qFftG2+1vY6nddKNP8gD0xOPkB+NrI4mQ0AJ288f1/VUfNEbHXXMAB00ITQf62kBwPo5fK0jod+ttbe71rtSzpb3yPpb0r2ZifvEuIQHWJpIOMbbVPmSJp8tzNktX746j3+coZRSkdOHvE+306mTVb9/yxNqYITEkz3CgZwYrzVT1BJU8/649Hyej63ntZOGDyIF4tqmnXMgpZutv99u/uvWub5FQ1jX6fj4HKhaMUO53YyBwAGWJwTgUkrdnqG5w9rOV494BwHAKEpd5bp+t+vGz2+5puUr3rsVFn7wAj0F1AEAABUAeoak6GkZ9+D4wBQ9KJr9d5A/4yiit5BrUOefuevAUBmQdXv25yX73HXPh642cRrs4mXzgmf/XZBlx/VtnNRPftIY7f4Pg6PQN7z+c1SO2yf1HSMN9xE22YQnjEF9FsFX9h0zLeFSicE8qi5Y4W22eX7pQMAtvEF6419e2moiNNkq1+0IckGcDt1bam2eVEPu4PDN3IRQn9OTbP8TtuzNwqIlL182OuectAplo7DnXrKz9u9ku8WEuz5APtdE7fZX+wcd1AEAwAWwPlbhbttw1ft8f5W23mnY+Kjxj4AuJL/XGm3Q/L9YgBo6mOo6rt7JJWIhutprP5x4smr7ftxq6fNySvouDQAAFUd9NW7XC1PP+lFIS23VHKHXYHI6u/o33DIyzk6FQNIflAsv93mZlENBeCgd8pe66gemvBQ6/n85l903Ano1/dJ1bJN6BRBf2XnbzrOl6uYD+pfyu+wis54QFxQAIB+Nr7XLmaXa3o3gElA3DaTgBe9ZEI+WeXDy7c7Zz99MbZeNBx8U0sV9rrW9zBFzUHUorpjkIB+AUBBXafMdpszOaXEfLSqXyC72yky7VHNIEvZMNAr6YlI6NP1u5J2qvR+n+CUHC4GBz0TdRwutpKZAMAFOJtVILXDspTGvdcy/LWGqZSez3pT/80m3tom3lvM/ffa+KfceYgDuMSlqe1zqWjtB4C0+6Uy262vl1QBAAowgGHrjTxsgpL6+OhLBt/1dK7igUB5Pe8dloF63pd+2BV6xP8SAFwtqF2+LyQhp4Io59XHFTLbbdIfCcez9OLeZTpOrwn9y44dCsgUJSAD7PNIQZboWp552gPgfvbGxyR7SfOM661QPARZLyHuMflq2VCrAFIKXi5ao//L7qCLZWQyQFxhG7LMfKN9Sh8PEh7UfaLhtnJ/8KPWQaLlDgTemqfguM0+cQL0Nw9RVQ8FfExysk8sJlSwjszVtEkSX3XcOykPAKKuP1+o4qhpFlvdNQQAHXRYc+iUuIxNVsmI1W8a+tlae9/Mmi6uwCb6NrLmhI7HFUIBq3rIoUm5N4rqqinYfu8M5JcDR881FlCgeAAulvHjC2g5NRQKf+rrSP9BmhL6UQAmCkMcjMHHBePSjnuFsPpJJqPQjwIUNfdpm4WtN4vJaxyewFZ0CWqQyS9qGr5dNXSnhnqvaqCPMe50Ih0Dl4tFK3a6tJE5xJOaHorSodAl+06uND6v55YIAIm3i3/R8U4vHO2cxyOuSx4ML+8cYgLI7vewjH9CxQEAhnE47HNefr9jL44DQB9LYBiQtc0lMTz7mZq+Z1F9BwA8qGxZvt0l4OZzAQALgAXw/9h76/C2jqV/3Bfe+/Yyvb3Y21tukwYaaJI20DCTHccBJw45YCdmZmZmZobYjtkx2zEzxMy2DLIsZumc+f1xLFmSJUOStun3+c2Tp5XPWZidmf3s7Oye3RmAZtzCGIOH4yM3DH0eWIbOsjiwCvQvCsY7o/4jeTsh9PMAKAD6HnEX1O1FoX/bOY3U0lY8gEFojYTXjyFL/POGz08+SapuBpGK+qnIMVXH0w/scFwujsW+twT9g3sv64c/qxJC/3XrxLtmQRj0f6Fol1C4GGyRAf0ohc1pHZmdYvJpAPVTqH1q8+dn9e5Yh7IAnla27L9mlljRBACDc7RDtyxt4uupojYhjvTI4vi1JJ4ZOqpiE7f7mmX96KJVlDb1pZS39eBZNlGln554klwzSgdIKW7ZrmhWPsrDZNE8hd9xycgsIE0C+m87JN0w8F2C/vKhDQrWFe0DgO3w0Y8Qgf6JLy9ZpHbS6semD94wMQvNRIQuGp527I79I7d0CoCaU7C8unP/DBHT17O2ha2XJKGfDRBR0vOVvF7VyxmsbUyA4vaJiq7xzinK0dtWllE5CEBNz+Suy4YRZW2YqdMAfewQJa8TGPB8ZNcN25pRqrBDSZ1SowAsgEdOMdeMw3M6ad/dc/HJamEJGXj24mtF3TYqu3Yav/G8gVtON2auLIApgIbx+Qkqg49B/y3rzqkFAEgpbflGUS+7YRH65xHk1H0rQ4/ECRbf7WnbZ6d1vTKbWueAA9BC4n15O+KefQIAZFR3b7vhHlPcjnH1tLp9j6JeauUS9G9RMCtrWwH6RXbT4+k8Te9CuU1qd50zhI1cALhpmyi38apeaM0sCkVtw/89b/mXU7aRlZ31Y3iblK69qt5G/k/HeeCe2fOLrSp7HnpWTRAqBqYUbTLkNj85axg3RuE0TZC+uR/wy22qmiEF5S8nw0u7Prrs/vM9Boom0RKbO8lsrkNsxc92PNlw3TOuuqe0c9QwsujXex5vvuFe2j0JAP7Zzb8/ZHxKKwiD/kkqfH3P/xd7dJ814FCAWTbnjIbHP44bOaa3UQESK3v/9xvtDy65BBb1PG8fueuRKvfB+ePq3t0LPJeUsv/ddu+Adkpm11TDyPRNp/Tdd33iil8y+G9dlEcq9LMByrqmdFziYvPrOEvzd8n4JAqg7Zlx9EmQEPrHyeyzemHbbrhmtc6PU1mjRPoYgTpLZrD5qGguWT8woiJgGVe7TWnR6wcALkBi1eA/TpjI7dC5bZ8EAK3j8/vuetw0DxqeJs1zoKB9aPsN1803PDumiAjAQVWnU/rRA0QuB6C0Z3L7ZZNvlU1nYXFHY0JV95ZrLjvuhdy1iWUigALgiDQFXZ/DWuFN02QAIAK4JlQcvWVd0jM7h8JNI++HViF4UehX1K/pHpc1YfLOrPtI3loI/QgADcBAAP1Yruqhie3nnqSVtuABjMJenLrvsAT9gmITnjd+flLLN6d+isIdXaD3TS+UdY/cc8n+9LRR/PMWNgCOzlQ191c29KAClHQP7r2sF5ldheWd4YKyVfwds0AqCkW9xA2XrBOKFqGfB6BiGXXJOHZKfHv4CJ6kZBhq5J9NQQEARplwUdPrsoEfESC7tmOPkqFfdg0HYGCOceS2pW18HQb9NB7SNTQ2OoPnosBFYXKO0DU0Tmbzl0/18pt6N503uGAUVN03QeWAd3r9Z/K2Rw1S/3vOQtU+gcBlowAlrWOfnTHweNZPASAwEZeMyn8dfGQelIECJJY37FXUy6vrJC96/d5C6I8tH9qoYFXR3g8Ad+0Tz+mHC6G/vH1ik4JZSgthisZ4ZBOx55ZV0xQR06NXavmGExpBOVUA8MgxWOGxc/8MCZNPdjvhK0UzCehHAV4MTu1S1DfyTSfxAQBqB4k7r9tpeaa+nOUcu2NlGZ3NB2gamN19xdgprYbMW9zClNc48rm85SHN2NvW0Qt8Hg8Ahyd2DU2QWFL2xWJySylvP6bmc8448axWQMPwJAhW+COeVe9S1G0nMUfoDAUtz2NqLh1zVBRggQsOiWVHbjuWtgwAgG1E+jdXjEu6cXyA1LKmby7p5ohBv6WJZ8IQjX3HKXvrZYsxOgcAKFzwflb3s126t+ziACCjumv7DdeY4jaMq4yqtm8u6aRVNWHyedowvVXBfCXoFyU8jaPumCz3j3M3LaIEkkTJANeMguX+fkDHOwfPASaAZWTpe8d1/rn/wY7LFn/dc2/jWd3gtGI6QHkvYYuC4W933tmkaH5Y1WHndfvffauxTcG4qnMQAQjNb/3opO6vvlL56ITOtstmu+74/uHbx+fUnCeIFBCPqg/MM69Zxr974PGfdt5+/4jmb7fd2nrJPLK4E3M7/VIrf7X15pG7dt0TcwCAI6NbFS3lPlPKqhkEADyLc+yW2R93qdjHlvMAZmhMLZ+cfx7W/ONOlb8ffPI/W1W2KVrFl7/kA7ycnFe1j//D7vufndbfctHgL7tuf6NsVdk5/hYu8oril1BQDADXmAK5332h8MiaI5ZQ0lbV7aP2q9j2TxMAgIegIelVv9t569OLVkqGIVd0vK5oeyg8sjVyiRiZkdwsIVKqZJl0BMxCCzccfzixsIRN8wy2QUC+3EeXrxsHAxZwrOw+esvyirangUfyDdPQjUoOe9VCOycXAMA9ofKzUzoqpkEmfpk3TcP2XrfYefExHln8rv3lDPHkE/+/HTEOyVuczwJAflPPd7ftLmq4O0fl6Lgn77iopWETiqPQiAhyWd3qlp7TPJMNADyAmKLuzcduvegYFApNYtnGK6nk34fUcmrahU8YAFq2ASdu6I0RF+VQ3Tfy+f6rKYUviAB63tmHrupOk1iiUgGAuJyq9/ff3nHFVskwTEnb49JjlwPKZnuuWjjFFmOxrGkqXUXHUVHNgg1Q2tHz1fFbYelFWAlzbFDS872u5UBH4XnX9H+PqsVml2KvEICrul7nnnjjxB0jEpPjGFO465KunkusT1LuI9uoY7fMkkoaAKBtZO7kPeudl42iClqbhxb2K2nbhBdh4Do6z7xwS8vRJ4KJIAw+4hOepqRu3TVBlVjdwZArqbTzW2WrvdfMHtrHPfYq3Kjk8vdjJv86pqvnX9gyiuegMEPjXdL123TBQN8jVds1+cxj7+0KeoYe0QCQUFT51bFbuVXNdABlk2DFh9YzpEXziH7e+eERtbLmbgC4aRJ44qELjrz4vWtZ8+CnR1STqoZQgPr+6aP3HE89cnOOztHzTPnmqpmuc8zYPBUA7pm6nbphNIAjYPLJbpz47NiD3OpOMX0AkNhc/5TiA9dNNVwSXaOzFZ54nn3i1TCAG5hZ+FbhsVlgMgowTWZefOL6lYKJc1gugUIHADwHDjzy/+tBvcTSXg4Ag48Ex2ZduKXf3IeDZYRVNUvhXNT2kvtcwTq8iMTkgGCFPzTl+aZjt9pnKSyA4pahI3es5DW9XKJy1exiv7pgoO8WN0tmAEDi89qvzqgdvW1b0TOVVtq09ditnBfNWNOICHLoyhMd2wAcmxtb3r/1vP5NfT+vuBwT79SrRuEfnTE5p+bAReBpefPGs3pRuYtBwozShq1HVVJLXmCFpL8Y/vTw/dJGsaFR2i1dACgAlcNLL2u6bxucUFSPLXOgKDBQiMuteWLjm1XdQcMW5RCIKazTdI9RNo944paQVtmO7UKg8/mZLzofOcfdsAhzinmW3Tzqnvjc2j++dWAUBaCjkFLW9sAh9qF9RHh+XWEHzj4sMzytkMRkLQ9ETpAR39SS+45xKlbRhn4pxa3DXAGTVR0DBh4xwSmFMyQqCkBkIW6xuZouEZ1jswgAhccLSc4z9Yktau7DPDQ8kx+WVaHuHHPTIlrXO7mwcZAlGLeH8BSv5JK7dtE3LCJM/dPq+qZFV8XEr/V564gFUNY6oGXrFZ1dKuvbFmxK/7Skzj8pH0+lowAsPpJeXGPgHffEPVbdKUzdKeSxY8gjax+XsJQxPBkFqU6ylMkEG4W8+pfOYSlEOlcYWQKA/lmSrkdMXF4VCsDho1yA2v4Zc/8EA4/wgsY+VY/sIxph2CINnglB6aW3zAJuW/iHZJaXtI34xD6lIotf1ixwQdcz44Cq60s8S8gEH6C6e8zAO1rRwFfZNMAzMX+GxgcAGp8fm5mflFNM5fJQAB5AY9+Ue1ji6DR+Kf4l1COKoiha0dZnE5zSPTYlbBULIKu4OjQpi8BkYZY2NEdwDoxp7R+mAWRVdQTEZ5KZSzt8MNk29QzbBCerOYapOYQ9dgwx9I5xi82u7BjmCMyVwmYnZRfHZhRwAPqmZz3DE+s7+7BKKTyIzqlMePacg0LvDMkuNLWxB+uoKB/Q2Oyy8MwyEnPpAAiswAUOLzSj9LZ5gKK+v5pDSE5NJ8YTE4Gn5S13Lf0DU4v6ccSAhGdFDS8xNmaobOfA6KcF5UwU5SBocn7l2fs2bZNMoc0Ir1MHAASgaWjOKjj1umnQZeOwx26JkYWtIdm1SoYBel4Z83Q2ADQPzxn7Jl418DP0jsuu7U0uqsupqOMBNPcPeYYmdI9MMAHi817EpBdSmVyM7cb+Sfvg5MGpGQQgIb8qNL2YzGJjlQ5OzjmFJLWMzC5+bTM4Z+Qdq2Toq2zi75tShKMwAXMjCspCk7LxFDpmCV0TBKfQ5O4RnMQABgA0BBIK6+5ZBl7W9TH0im0awAEAjkjxi0nPr23FYjjZ1R3q9qFOIckzJAoKQAdU3bvw65tOIwQOALD5SGF1o1NQ7ABuARURkURF6RWNTxxCmoemhc95AHXtfa6hCVMUFmaKVV1j+m5RSgb+N00D/FKfT5JZWPYJAsU/teimsUduQ3/b0LRnWMLL0QmMNzqKBsU/zSquoqMoGYXwZxV3zYOu6vsZ+8Q+75zMqu3zj3/G4EPH8KRLZEZjzzAm4c7BMY/QhLbBEayQ9tE5x+CkgYlZUb5lQr8ofCCCTsITfygMw/EBiAAckexYHWwAqiCBkITby1gAHJFCQCSjWNUAAEAHIIm/Xe6niJaDLeSKvhUSF4AoWDvCzFx4WjYDgChi9z8REvvUU+ZBVOjS8+UqliC+QDJSSpHUEipRrNTf3aNzTpFFL0YWl3kJAKd1AxRN4sbJbGE9DADRw22W1uHJ7Es6AQY+yXxBSBoV0TUJgCaoBRGoFQQDlKhkECE34tAvwbBo4aInwmIkXOWQ6P0reATCYkWHFgk+Rf8UP3QEFV6iK6KvpYPoAIAJQBL54FlYESLefL544dhJnA09Qxq2gbNsEdsQuZdR+JAGsCDSofrn6Pk1XWQGS9g6irg5sUVaLZwcCa1OlCUJEQn/FJU5WVzFQjYQkUNSQbwEEEkDAFwAsuAtTySZsLMggj8BAMeFc7qhhkElVD4fRAoXsrTc/1seLhPtX7xlzaELcqHi+uKAmBGKghhXwB4LgCLeEL646ER/S1QtE/qXjWYoX8TyQIRRiZqQZbWCeJMQkXYK5SLMiyzLK0GISFHLEV+wQrXUH0QL5y9TjChXy4qS8koomR/Z5V8mI4EuENELZ1dmUSIBgqICiaEIoEJxraedCCxdOipZl9Ao+2YWjj5023PdNDijNKqw/o597OaLxjEl7SxkkSW+CP9C3eFI5IDEbEVD38N3HBsGcABLN3uLooMUgxQ/ZWFdMhFKRvSFBGPI8vyomPmJ2qGUtLB4j8ni+CP8h6JL1iyTwyVUQVFJoxUmQ8QZFjo3ooWzEbS+czCnXLg+JKhA3NolqljWaxYhAhG2RKAC7C9E3DywEUW0Gy4XkYBRVFTFwp6OLvZ0FBEoegUVL+/XqJANQQuFzxfonMDUfBWLqD1XLWqGCOLzfqGGpVWFirkjyxkQSlK8OWJpEGm9GJX2D0CKgaHiSCiaWPRyCqFaV4L+tYHJG6I1XI22QmaJlG+cadHO8ENJZO30Ghyh4pYjWeaahb9iWhSAB1DTh9N2iryp533bJPCuqX9MzgsShwsr1jE2g39o4q7w2DmtvIsvMvuUxqd4MaJpXm3AFof+VYUhxtXKiWX2Mml3GkrLv6yxYsi6an4h8VGUzQcQmXPIqGvlMkWGA1SCAanZ18bhUlFiICb+W0LR6+kH0u7qIdI5D818Ljy0SS5pljyfbglRpRb26pAgmIAK2iL9WLw13iwkW18rQ/8PQLJOwZQhu+X+99pqWYMNLK9xjfp7+6BfjN7Q1ES2gyMr+QrQL+CJxoOukenWgXGcYLMKKpJ9eQiVzeOPzxIm5ilinuZiBxH2f0lnVLKcNyKQ9cGKjN73qnNHgS8nI6NIdcIqfkAzEBe+UKWiEy8ZXX5tTErhQXrGV+2ZwnwIwND0/OiyAyGk55LN/PpuOlqCfpl516tQWV1A9PnrQL8Md2+tZwCdMgAAIABJREFUCljReVlLWbI9MlliEku49MdaXBtZhb21A4EkbyJYib5B3r/X9q/dP/zxtfBqLHxvjIsOB1LqWEe9qztRq0PAip14dUakTYa+D8mtQySorL9+MvSa0I+sRe+ys68K/asVIDuj9MFTJvSvM74NIDucuwoPPxTJahSCosLl0h8B+t94P3lb9lz9ZKH/e2BhmeFJ9dHXHj79AcH1lX3AnxxJg37pTRGJfYqB5mr5Vnqx5gRvgFau4xWqX3VxWioHAsEtLbtId2rWXuKKr5enRgHEJ49v0NjfjB7f8q70PWG86FAsa1h+TcmsmB2zQ5H/vQa9giO1RnoNh0Ui3+s2ciVO3nILxmgJ+pfCSRhESVmMEmhURsvebuh/xWWDFQtcg7+ylq0mr9z89WREF/fvLAL/Gthaf73SLWe99MY19WYJfSX2Vm2USP+SPWNbTyHr5GER82Xu11oPrQP6128tIg7ougp5c9Av8OG+vxHuhyBR6H+dctbaXd9GUUkxAhRWvK569SJfWZprrHVVB07ygdgcRSb0v16n/xFiL+IMr5UBEZh7Y2ysWuHqj16Tg7VNQ5cnWWEgf02OVixeepb1u/VvQIpvUBevMS35gWkR+l+7z/640P963fh7gP5VK1wPM+tOJhv6pSX4AS31ze08EZb4Ssz/vwz9a0j4/xD0v3Uw+0qj149Cb3Jz56u0+qcgI+n0hjh/00Ao46O3N1fB94ESr0uvogvpknnNac8bkjYq+ORLKq0at5F88AMQCgj6SmG6HxYrRBT000WeN0TSoZ8HQOIg4yT2KJmz/B+ByZN6T/FbAv0oAB+AJYhosxF0hsLBUTg0HvIqtrlCNdI4xxxbBICFopNUbk3vTOvIApXD5wEscHhtY9S63pkJCovMQ6aI7Dkql/sGplyiPK0E/ZhkGAgyR+UwBRc6Y0BCYnPHifQpCgOTkixBSW00CsBBYZbKmSCyxgiMsQUGjsKcZ7AoXJ7wQCEUgMrizpEYzDdxDjYKwELRWSqHzFq8Ah6DSgSAwuXPUDgcvlgl0qYa3yP08wHYKLzGqa8oVggXgMpDBmdpVR1jNd0TY0QGlY+s8rm1oAFEOmeOymbLnmRhXWOWwiGzeK8/Xq0d+lEAKpePIzKZXASwSw3XuMtBRDcoAJ2HzpDZVA5f4hgDBIDNR2fIbCIHwdO5eCobEStCEvpRAQ9v3fns3zMJoB/zMwREQ8H3acN/jjz5zzmr/1yw//CS40eXnN6/aP/v8/Z/P6pv4P10jsZeyihbZGue3aOrh4xWnaQLHrMRtIfACMqomqcxAWCUSDl0w2SnktnTF4OoRPoVuZP2XvQTffHEgs/thFliS7p33vJ476TxlxeM0su7+wi8yybRH5y1+OSsqaJJZEjJ8IeH7ijpuFAXy5LZtBU+UFqhBUsnsYhzzwRwick/eN2gGzeHPeEC1PcTrhsFf33VYs9NKz3v9BESR9idVlrtF6EZBlNJ222TvNG2K9Y7r1jsvGK254atimVcXuskjb9oWPF5pVfVzGvb+0Am20uCRcUYkFLjyxmGgqaHU2g6U+TzeS5AREH7YRXLloEZGYJZB61sILJMGwEYI3FSSzsm55d/GbSawy7ykw3QMEJ+5Jy644rFDkXDr5WMdl23euKe3jVLl3lMkwg5BMYrG3gN4akrpBkmEC+rW/vF5bCltFRU7DKMcxE0sO3Ca2igoJFZ1d3Hb5vWd/UDAI7Bjcl+QaAyVmuQJL3EURUeO5r7JM0zOOhi1YACsACSCurPqlo+bZzW9cp6aOaxcjkoQEMfrrBpbIHBFXu6GnRJd4O+j88Jvx8SQL/4/JKOQmBmw8cntT6Wt/3beZdfHLL/2QGrv551/OCS63snjY38svBMHiw7zWM5SIg+RGWfcQHieRGRVyv1vWU/MGobJR9+6LnlstkklQEAw0TK4dtWX1+3SasdWaPXL7teMehfwZNkAFwwiZXbpr1HO0ErpLIFzwwufPnX41Z/OePyMOCFb9FYSPnkh8ceKhl4kmX0FVmtk8rnWj5hw3jLb53ecsns7/vutE4tQv/APPmUqp2Cfmh6OymkeOTALbsHtuEkPipDVlJQAAEYpTH2qljvueftljfuVzDskdllGFp+VN1343mjoIxKPgooQGlbn1tk9svxWVlTB4k6VqbmKc4uFSd9j2SaiFWxAdwzOj85bfiiZ261AhY5l9VCEEhP1BpX4Fm0QIeo/HMafr3TRGEaYSHLr8YVlCXpdla+nD58z2nHVSuHpKaCXnJRH9kuqXHXdZtjqo6t41RkNQtJLm5wSayaEFwgvHwyiAL0zBH2XjW0Cc5iimP8yiTRInEeJAuQytuLPrx5cF7v1BwAhOR2fHPVdJRAWp5lBcvnAzD4yF2rwN2KBs2jM6IczbI4ygY+px/adlG4wUWDfqllsgrE/uQC3DDw0fbKET2yZy2AjYoIDQQciP6WgMe3jaQGfBAeAJ3Hn2eyySxOeuvkJ8qBfz5q5pfftMDizjLZRC5vls6cIlIoCODorNEFMpHF5gLQUJig0PrniYMLZByNid2qwQegcnlTRDKRw6UBjFPoQwTSJIWBneeHSYfE5Y8Sqb34hQECaYbOwqwVkywDhTEyrX+eNLhAnqEx2SKeLAKwwOYNLZAH5kkTFDoTBRSAzOVHFvf9/bT1v8/ZNIzPUdk8Eh/pwC004hZwrKVL1ols3tACZYBAGifThOfVIgALLPY4iUrlo1Q+Ok6mDRFIszSmrBNOMPYmyLRBAmmUSCEKogwMHr9pivH1ozC5nfoepQP9FGYvlaXhX/yHY9bfGaQ2zlGn2cgok1c3hu+aJTEEQmABTFHoAwTSEIFMYHGFF+MBAJWHjJGo/fOkCQpd5GxL4fFTgACwEQRPY+AoNApn2YUSgr9HyayLuiFfXnX6/Lxhy9QcADAQ8Epv2X7JpKZ3HjsaMLa4desl8+zGUWnNlR4hQQBGqPQj92xULCNmEaABMAFYCNoxTZHXD9l3w7KuD8cDILDYUyQqhcvDmsYBmCTTuqfnBvALFC5P2CQik7XA4ZF56PA8sW92fo7OQpaqWqq9Bcfde8/dyPcpXaSHcQC8sns2XDR/0YsXSmaaxuidne+Znccz2MK+SmWx55kcMgJjJErvDH6MRBU9NJQDMEmh9UzPDRNIFAQIDBaFzRGZnC0SFwBHoXdP43tm5+foLOwsTBKN8cg1bfddv+edw3QOj8zlz9AYFATGF0hTJAqNx18LthI4/Gsmoduu2pb2TnJQ4AJwABgolHXjtyhY3bSMofBRHsA8k02gMRBBS+lc3iyVzuDy+ABzdOYYhUFDUA6CEqh0GgpzLE7/7PwQfmGBvXh0Ug+eeEjF0j6ycIrF65sjDOIJRA5PlD0agg4RSD3TcyMEEgNd5I2PwjyNQUFgjsUZxBMG8QvzLM7ycUUo/zk6q2cG3zODn6GzsMMmF9i8YSKVyuMTmGzT6LpPLlpW9o4SGawpCp3AXIrPcFEgMFjCBooS9iStomPjGa3w4q7F41RRlA9QM0bcJq/rm1xGBJigsScpSwZC5aED+IXu6blxEhXDHw4Ko2Ta4ftu12yz2qfJbD6fyOIQWFwqH8YWyL0z+CkKXbT7cwAmydSemfmXM/gJCh0rhA9AYrJIbC6Fh4wSKX1z83g6kwdAR2F0gdQ3Oz9NY/LePvSXDv2i9l3eO7Pxhs/fjujHl7ZgT9gA1kHpR26ZBea/VDaP+EZJL72kZY7Jj8hvOaXmsuW89s7LhleMguOet9G5CAAUt/UcumZgE1mQUNl3Tt1l+yXDc5q+eQ0DbB6fBzBKpNlHFh6+bb9dQX/XZf3b5kFFLaNsBEEB8ExeaFbNyfsOWy7o7VQyUTYOTCltY3L4fAAOQPMoSd8rfbeSyZfndE+ru0UXtuG5SEH75Hf3Pd85ZP7bo9YHVV3jClvHyDR1ywAVE//Stgms47aPLxj5Zu2+arbxnO6J+y6BGXUz9EXbDUgrPaLqEpjT6ZlUdfKh445L+ipmYbUD89zlRzkBTNN5gVktJx44bTqj+c11M5PA3I5JMgJQ1TWuoBf4h2OWvzhks03F/a5d3GWjyE8V7H9zxOqf5+wuaHg9qx3JbZq68MDK2DOaBoACENn8yMKOs4/dtl7Q2nnZSNMjo3WMyEMXkcsjsfTwXfttCvrnH7vEF3UscDCXXKxHjOEXdB1DL2k457zoBGnE4KF6HnHKlvGGUXU7rlg0jk8DwDybp2yTeuKJL03gcjYNz+65420VXrCsgFWg/+hdC1XLYIq4oFJrOj8+ouYWlwcAOZUN+ra+rX0jAMDg8DLKWu+ZBZ59YK2k5ewSkTtKoAIAlc1xjcm3iyoKTK+5beh9VMXsoVVwfd+0yPfHi9SC4+6952kQUEAWuWmZAeCRP/z5RasXvXgUgANQ0Tn+yDLooprd2YfWuq6x9QNzGEykFFRpuaeG5nWq2YScVrWWf+yUVdXF4PEQABYKufUDN4x8T941v2Pq7/O0Ts81LjW/RhAOWJzwcflIVfugqnnQKVWb8w9ttOzDqzqHuQiakP9i2xW7f5+2VNDyrO2dK+6YfWAdFvysSeGRlaqB8+A0aWUIwPTwrKZzw1lt57RmiTgIDcAo7MUmeYuWYSKRC+7xpSbuEcK35S0vH1gFV7UPAkBIcq6BZ/IkhTNLZug4hITmNznFPJdXtz+pamPmlzqxQEUAeuZJh27b3HdKNwstuaThcuqepXlA5iiRjnE4Q2f7JpUqajide2CtpOEYmlEzy+KhADQu6DhGBOS020cUXNNxOXXPysA9bhi/NPsSjq88BKpfjj+2izh9z/LEXctHtpENvZM8FEpaR1VNA9uHJ/Ibevc/8P2/owY3TYJSSzqNfFIt/ZKErtjkAs3EI8kvLluqoFCAOQacUHO/Zpk4JbgxlIGCdcyLXVctBuaYBA7iHFVk5R2HvZqisH0SSuTV7c4/slEx8EopbqBzuGQOOEfk/ve49oYrTmq2UaN4YkR2rUVoXkhm/SPL4OO3zW/ouxc2DmAnm1I5vNSyzjvGvvLq9qdVbW4a+Oe86ODw+AAQkpZvG5zpl1p93yrk9ANrNdvwxtG5tPLO++aBh1XMVc0DO8eJss/I+3Fo9R0+z7txG5R9/nZEP+Z5EwDwAcgAiobBP99271/n7b9Qctp6yTi/cSTjxdDHZwzfO2lyTsvjkJrLHw7qb75sW9o+AQAx5S3/u1Xl32ds9tzzOPnQYauy4zvf6Hx3z612cJILoOOZ+Jd9D7954PHIJfG8tud7x3QO3XOeIDG5KCRV9L9/5NEnp/VOa3rte+DylwMa26+7FLVNAUD9COk79ZA/fau+S8X+wAPXfx7X+cOu2z55bSlNU3vvuf3qoMWvj9nsUrGLLGjqnidtv6T38SnD+IoRFKB1nHhQPeQP+7Q3K1l9e9fx4/Nmf9yjpu5dOMPkAICm99NffqPzsaLj7jvOxx97fK5g8fsD+ic0Q/BMtoRY8CyOYWDhb/dq/fec2Xd37DZfs/vtPu0jj7ybJhbKeydOa/r97qjl/xyy26Bkf9Us9Kxu0IcX7H5z2PbdU7bHHjolVw8FFY7+/qurxx/akQCoXJ57St3v9mp9cN70yH37Ldfsf7Hj0anHXl1TBDoftL3T/++A+qZrtme1/TYpWPz7mJ5nZgd9WYSnbwqv8Nj5y/P6MflN2BOJnZRR+c2H73s8752MLGrfrqDbOI4DgBk667hGwHWrRLogwNM1TT6qEa7hlrSYbQ1BTwH0W96zDCYJrtbCMjWPznx7xfSBYwQCEJRedPiafnHzSxQgKq9+n5KRjkdifuNQVF7dd3ccHjmlElh8Mg9Rtk74XMFC2SQ4/nmHT9qLrxUNL2p7TXNEluhRFABacJz9D/wvGMbG1QylNg2m1A2m1g8mNQ7f8q786Lx1bd8CAlDRj9utZHTD0C+9sifxecu5x04H7rnWDJEAwDu5+DffaJzRCQxILUso7T6v4bHjonZFzzACUN4xseeq8TWzkKdVvWHZDXtUXD8+qe8eXcgSl0T7CO68moOSoW9u02haadvpB7aK+gH9eFrv5MIlo+jNyh6+aTXjZG5CDe7z88Z7Vew0nWOsfWIIjFUQAGumfUTGZ8ceFbb1L0pSoAUuQHYnadN5g/CsFxMs9K5T1ulHtoLpCKSUNm2/Yp1e2Q0Aeq5RBx/49BDYIwTGwbuOH18wN/LPSirpMAst+PKslnVAJhlFB0jUXVfNPj5jpOqUlFr+0i665JNzxkY+qQBAZvOMgrK/Oq/pHJlT0DzqGJa16ayGWXgFicuj8mHvbYcPz1tquycllbTbxRRvOaul4RBJXRZ2rBuYPXDH7Yy6a3pZR0Jx18FbNqfv2nTi8Im14xsvmJa2943MM+655Xxw1iwsu6FzkmafUL3zkm7nOBkbRZ439X59xTK2qG0FU7SMKN182bphcAr7c47BOf7I675jOhNghsm7aZN0UcMFAPBMjpZ37u4rhsHpZcVt4xYBabsUdENya+gIlLaN7lK2Oa4bnVLRO8/m6gXmf6ZgeUHDKzy7ITyv6dg9m73Kpr0kPh+FtLKWjWe0dLxTc2r6Mqv75LW9D920rHo5CgCmAckfHFE/peHl//RFyLO6zYoWu+74KJuGROY1e6TVbpfXfWIfTkHeroVkmYc2C38Xi0M/D4AIoGASLrdd7YtbQfHNpMo+Ep7Fzavt0fbP8ysdnQAoxrE+uR3xj1PWgZm1CEBkRdvPv1L9+xlHt5xOHkBcw+T7it5/3vc4rbadAnBczU1u8z3jzPYqHKWOBJapHYEF3ZNkLh2BrJo+Pb/M0LLeGYCMAfLG26F/PWEXmN+OAtjGVshtUT+hn9AyTSUDWEQ933vdwjqiaIjBi6wc+9s5l38puDXMMmgA3QuULZdMPjhnE1czvcDn20RVyH2lvudRWMUgkQwQXjn40UXHP31nlFDWDQBPfHPk9pm9L++Y0TVLBPDM7fnjCbt3T5oNE5fuxsP83Nym/nf3q/37vINnYR8FoHqCdkQn9mebb+qHlEzxoXEO/fpRrNwOg+j6yXmAET6o+5f98ZjdeaucYTaKB/B7Pv7rHXeOqrlQAGoHJ7Zdsf7zMWunZ11MgMI+/Hn9qNP3rGq7+4r6yF8ouf79tHXaEIUAENdK+cc55y+vuowuux0QT2Oll3UEZzW0jhDEdAoAAO3jxNOPnLwym6kAUbm1O+R1WianAWCayjj40Oe+WxZdYJZ988xjWpG3LEKX8qMAAAgAT+BcS8Qx+QBjVPoxcejHqGuKcOyu7Q3rMAZAQGbJwetmRW290zw4reF70/ZpHwtIAPMAYbWUjYp2pe24eR6qYJ705VXH9jk+G4AG4JnWuOWyTVkfCcSpBcc5ohH6j4PqOxRNd10x2q2k981l/R1Klv86Y/OfU6bNIxQiD73v/HT/XedByuJtIZVDs5uuOuh4pgCAR0rZr77VDy7pBgAOQFbD0MbT2mElzSwALeeIY6qOHfNkHgANIKZ25pMzRk5RS9CP/be4qWvXZWPTqOejNJQJUD2MD8hpGZijAIBhUP536mGdOCICEFM19el5C+voCgIKbMHdRCsQ9lbPI3r7Rd0X/eMgCv0o8AHqJsmbz+u4x+SOsOCWa8FJdWch9CeXtWy97pxa3QsAOu7x+x+Fdi/whuaZ++64nDVJHSBzEYA5gKvGwRfUnXEc7gCFtkPR+LSmzxgPeADjbLjplH9R04eHwvO20U2X7e3iSrkAbAAegElY4RfyljV94wyAPXdcvlELG6Cw+QDTXOSBXfz+6yZ4vlgsi4egTlFFmy7bP++dxwK/WS+67hl51Pb0J9TPfK5gU9reDwAuGV1fXrbpxy8AQO3kwg5FPY+4Ag4AjY/YhWYfue80LFwsF4P+RalUDlK2XTYLSK9mIigP4HnzyDYFw6eNkwgAjs67bpd5XtsbAAob+z+Vd3DJ7qYBEADmAFTdnh3VCOuaY7EAzmr53fMsmuEBF+CxT8F/zloU9xA5AEyA1NqRDRdNUuqmqQgSm11lFZFLAmABEAG889s3y5vFFNUBgHFg2j/3P4qv7cNyKVkn/vmocXHPPAdgho+oOycfvWM5x+OtrPofmFb3+ku6pjco+0pCv3Go3Ja7miG101wAARr2LVCyuwatU9rPWub9n7zXuycsHKOLeACRlW0/26h88Elk/SQXAGrHmfufRP56+6348mYEQNsr9X+/0ZHbbfTRtYCbHhWBFYPN0/PYDIsHMDBPzm4fNEtqPWmW/Xd5998csXFNryPxkVv2GXKfP3RIrgUs1sYGCm8xJJpeM/reeef/KjiPkOkA0LtA2apo8sE56/iG+Zd40ikNv18fMLGMrcbYJvJB1aNI7nNVs4hKPoCGf77cHoPLlklDJAYCUNJL+tdFx78et2ifEpt5kxGwS2yS+/KavGnUHLJ4k45fds3vdz86rBnZOkMfp8N+9Si57VrP2icAm6cHFfz1mJmSbSYJQZgAgUUjv95555i6CxkgraH7N9tu7VMPr5vkAgATYIENWATKKaXuT8esN9wMsExvCqpod83v/ONJu3e+1SnrwovyI4zFoMsWEhGAaSrrjk34A7v4QTKPChCQVf+VvEHtGAEFmKYyT2gE3XfJEEJ/7xzjsEbEEvQLym/onwrOaw4uagstaC5q7Ccxl8K7iDTox/7bPDqz96rpfccIHkBARskhZbPSroHyMdYWZY9TBgm2qa3WSc1Wya2PQlv+dtjAM6linM5Vsk47oRVIEXj5KeWdGxWsc9vxQk4wasFx99/3vWkZU949W9c/U9c72dCLq+4naIXUfHLBvGmIPEVjH1X3e+yZLVzDnGLBTYcMeW0vHoB7UtFnl12KewlYmU2Dc99cMfHObZ4FOKtua+SVOs/mY8LsJ1H2K5u7ROUzRWpHAUZnFx7YRX18wUbeItMru6msZ3iOg2DuqnFg3kG14O4pAgDEVI5vkjfPbRjjiqtJFmHNNvaJ23RGo6JnGMQdMg5AUS9p8wW90MyKURbcdi04tQj9AAApZa3bbrhg0K/rEX9ALbRrgTc8Tz+gYmMWXY9FmsgABp5JZx7YjbE5PSTqfmVTA+8UOgAKQAIwCq85ed9hgQdhebVbrrnntE4JZZ7dNveFvEVqRRsNhf13nNV8y+a4AABkPmobmrP3mtEkjy+6j2OWwr5jEqhoHDnDl4wVRpUPfqFgVd7eDwCuTzs3X7bunyMAwCyT/cAq5OITJwJA1wz+4iN7U98EvpTBEsWOIOQD0ABUzHwva7uPUGg0AF2XmLOPbCdZbADA0bjKdpkXdXwRgOCspnePW9zyrrFJbbVOaHbOaD2iHf3fC3b5bSMIwAVN7/vu+XNc4AJo+OZ/fcdteGFxZ1T90OxGedOIkiFsV9UQkV7Y+jKipNkqufu8Wcbn54wjCmoBwMgvce81sxcDkwDABdAPKf76tkffLBGTj1XQs/3XDWe4PzXofy4N+i8Zhf5s802rhBai4KqH+j7cFYOAT05o7bthfUYv+GNl/7+fsHCILeJi0L/hymndmB4CCgDt05zjOlHvfHUjtqwJBegnI6Yx5bsfBH9w3u63u9Xe2al65JFn8/AcC0Er+6YVNL0/O/Fk7x3HM/qhG254/+aIjdvTxmkW77JZotzGxx4ZdVjtPACOIOb7tHrwvXMO/5V3HCXSAKBvgbJF0eSDczbxTYT2acL+u25/Pmnv+Wzxgm8EQDe0Uu7zh1q+z1kAmgH5crv1VZ0zpqgsAKgfpvxH3ukvJyxaJ8Wgf54DhmEv5L5UvmEfzRNcohZT2vKPI3o77/rVjixM0JD96mFy2zVyWsYAgA5gEpD9t2MmV2zSyTw+EyCwaOjXO+8cf+xCBoh70fGzDdeOaMW0zwJga7aCfmIUXvKbw5b/PG25Q9l57027A7cd9z2OOKETUd6+dA3pqhvIonLr3j+kfsUw1D6m3Dy8/KJB2Psn9R655xbUDU5QmEoWidfMYxgCZ71zirzvYbC6S6JEIf5xWVvPqH+tqL/z4hMNK59J/ILwlVTox3gq6hzZcPKJRVAKAPhnlBxSNivrHnzWTfziitvumzZXtd0uazld0nJV0Pe9bR3+tLxlnMa+apuuaBJFXVwMhqeVHV8oWOW0z4NIsSCI9Rv659AFAx4AsAE8c/s+lzdvGiSOkxl7brkahpYJQ3V4Hqh5F5986EIH8Egq2nrDo3po0aVsH5rdd9XEI7d5BODgbTPrgEwiZzGmP0yhHL9n4xaVx1wM86Oo4G6TcQZiF112Qctnu4LBlnPahj5Zk0QqABgG5Bx6FNg9SQCA2MqJrQpmtb2zK+tISFhDAlKLPz76MOlFr3A4x56zAHzyhjZeMC5pG5tkwy2XvFPqLkJASSpt3nTNOaW6H0Sgf2SefvCmlXNKK2bBFBQ19ko4+9BulM15SaQcvGnmEJ6NXZ5ABjAJrz55357AB6+0ko1XXct6l7Rc0k/bdMU+PLuZhMDBOw6GYdVY9JrKR5zCc/ZdN57gikH/FJF+Xc/npnUMRbyBCEBE+dAXClbl7X0A4JrevlnRcnCWAABcgLTytm2KJvkjnPja3n1X9Cs6x2TsKkWxwB8fIKGo6etLOgV9Mz0MOKBs5JNQzEAQAJiicZXtMuV1/dgA7gnVfz1ifEgjTFHL7YqW82VNFyVj/4euSU2DU1yAC088H7jlznGAB6Dpl3fosf+YAPpbhmY2XjQPKx1no9DYN3nHJPjgDcuT96zvWYcrWcRsljcLK6gFAEPfhNP37VvHZgCAB2AU8vzAA++BWSIAUHmIbVDmd8pGPwHoF/FKUFgW68egX9E45OeblV0zujEJEfnIRS2PP+59css5p5/AnAU4bZb5t+Mm9rHPOQCRlW1yXyidM4gbIAMAtE9zTuhEvfPVjbjyZjIPOifmqgfHaiaZqS96TcOyP7mPFD9GAAAgAElEQVTi+sfv9K1Cc/pJjJP6sX86oH3fJX2IBiNckDdL/vV3Zq7pDQyABy7Zcp+q6oaUYp2wtnfCI7EqpaoDz+Jk1g2/d97hPxccZthcAOgXeP1xDXODZMZl4+iff6OnGViMtXCKyVW0eCr3xQOHhBoAeOKXI7dbT90jb5rOAYCGEZpU6Gcg4JnZKrfhyjHt4EH64n4Ju/iyX36lctE4uZ/EGSXzlkP/u0eNMehnAQQ9H8K8firAs6aeP+2+v/mGd+FLAgAQ+RDzvMs9prB/ds7lWcdfjlvvvO2d30McJPFqR5mx1VNpDbhpimTckIeiNDaPzOKxsH1GIvv6sypbr5sEn9fyOqPteVrXd9tNl3ePGR1U8whMK5qis7UCSo88cCUJFjHrBme+uursGFexaAGC7xXG50i1XWN1Lyfqusd6x2aYgj052PdrY1T60btWqtahotvI2QBmkUUbT2tlvOgEgddf3NlfNc35UskhKKdWmJIO0DkxM0+lz7K4V62TFE0il6C/qmPDJcucdpFZDgoA0DLN3XvPw9AnA1texKTBAvDI7v7somnj4MI0g3tEPVDFNkm4W3uCgZ4ziruk64MAuCcUbFV2E0J/29Ds3qsmHjnNBAD5J7Z3TALmBQ1snaHvuGTgGpkvhH4A4APgiKS2wVEWAAOg5iVOyzfn3YPaYdkvAMAgMOewenDvDBEE0F/XJ7nZFF3xd/vo7O5rFtdt0md4i5KMy6vJr+9sxFFP6MfvvOEyTuLOcuCua+5JNXdhAyMKGv9z1iK1ZgjEof/QTSun5BYsZCkB/YdumjmEPWMuvgKTsOqT9x3wPAgvavpU3i6jflDIUkLN6IdnTJ9WdtEBvrtjZxhaReQCAFD5iGN4zt7rxuPi0E/h8J7YR5/SCpwU8DdP46Q/b26fmo2qwX1xyaYC8/rT2jYrWo4SiFiaQQL58EMvVb+aJ0G1l3W9GchKMySMcGTOkbu2pgnd7kWz396w7BhbNBUM+i/o+KAAwZnVGxTtqyaXFlpwdFbL2BSZw2WicOGJ50OPAgIfeABavnmH1f2WoH9wZuNF88jq6WEyQ8XIf+8Ni7zG4VkmAEBqXdfG0zqhudUAYOibcOa+XZsI9O+/Lwr9GW8/9C+OpaLQX9SN+0LZ990jBmJev3Hozzcpe2X3Yfa0wON/fcX4N/sNH0d11uEYoSVdfz9j++4xM6uoIjZARGWr3BdKZ8WgP/qdbSoJVS0zHHhoGfzFcXWH9Pr6aVbZFHOXRtyv9+q6J5b3ECibrrn86ZilblRDwxTT+1nDv89Y/uqQjW3iCwDwzWz69S6NDVdd/PI6C5pG5Q2CfvnZmav6vhNkemHL2HvnbH9/3Caq7GXPFLmLQPnqstkH52xiaqapCPhl1v9i+/0vlJwDCnqK2iaMwov/fED7w/M2JR1jAKDumyu3W/+xR94MnQMA9SO09+Sd/nzConVK8pOTit7xj0/q/umg3uOA4qLWscCSgW03PX6z/aZ7Sh0DYIDA2a8eIbdDSwT6c/7vqImSzVMM+gOKht7ZefeouisZoGuacFLN5xc71W86ZxQ1DTulNb5/0uAvWy9mvmiqm6JvVXb64z4Nl+yWFyNU96zOg/fdHtnFzNM5EvzgyDTfxFLTgOzq7ikJjTIBiAALAHMAMwAe2d2fX7KumCSxARgAmU3jm85qRT9/SQcg8sEyNPcrBdPq/jmJQtBlP4SEQf8hVTsFk4imebR3AXk5x24cmHNPKf/stMFjx9gFFgIAARklB5XNi1r75nhwxTDo9EOn2hEqH2ABwCOx+qiycUP3MIHDv2adfMl4CfrTqzq+uGSZ0z4nxg1A8zT323seRj7pIvv6UTaA57Puzy6a1vfN0/ioeXjZpov6RR2TbAA2QExp1yfnTGwjcgDALT5/i7Jb9dCiS9o6NPvtNVPP7GYagG9i0fYLWlHFLTgGdOPZj32KPzqh4xrzXGKZt6S+9dwtw9iCFkwTT7upH16w9kmtAACzsMJdd3zK+/AMgKiq6S0KFhj0owCzZHpD3ziOzEIAqFx+y/DMy/G55XvkUQDX+MoPj2sbBj7rmKROoqDqmPilvOlhrch/nrP1KerhA5D4YBZRvVneqGqAyADomaZds4z59xmLtNohANDxiN+vFta1wBshYNDfKg799qNsTjeRcvimmWNoNrYWQgEwCXtx/L4DjsGrH8PvUXG5YxOOo/L5AJNU/nXziB1X7drHZpkoHLxtZxBaJfT6HcNz9143kYB+DHC/vGgWUdzPAeAABD9r+OrY7dTK+oTm+S8u2WIBH99nnV9cNKvqn8M2Z5M4fOvYug/PWx7RjPBMrQEAGhdtG8W/HJvlSIv7YOZnEph3TDfuoGakmlsGkb3YNaboPGW7Z+e0fQCguntks7yZpmf6PAe4AAPz7LsmPqrGvhMLVAA4r+l10Ty1lwR0AE2//EPqfmMLi4bRPDiz4aJFVM1c29Tst0rGiuZxJAA+wACec8c++s87VILzagDAwDfh7H37dgH0GwcX77vvg0E/hYfYBj39Ttn4bYX+xT6NLA+sFbaP/+es9Tvb70TkvgAAPgAR4PRjD7l/HXVLW7QnBoJahhb88TvDX+433nInaOvtwA0qgXKbb98wDWQDhBbXy7176Iia/wARBYC2SeYBVR+5909FPa/lA3gmln5y1vRX3+p9cd3/I0WPd/YZHNcK75oiETg8w7Dy3+/X+d13hptvB++8G/S5sp/cZ/dVHVN4KIzgqRq+ub/dp/mLb/R+ecBMbsfj3cr2xe0TPICX05SvbrjKbVX/wwE9neDy5lnipyfV/2+/ZmTxIACMLlAeuD39y0GDn32t+dsjVnI7NT+Tt44o6sI2D6s6J8t9dvuuXfIMjQ0AdYOkvxwy+J9d6s3jtCWJYDFTNjcop+njSw5yX2v+7ojpz/fo/OmgoZ5f9hieCAB9s4wdNz3kPriWWT8EAAwAHfekd3beP28YSebx2QA+Od1yH53de9OMBMAFeFY/8uU1V7kdmu8cMJTbpfW7A3rmofnTJBoHwC+r9uPzlv+7z/gDJb/f7NV5/6ShY2wRncuTcIc6x6a3Kej/YouKV2q1kElR3aKCgFhAWsXHh+/Wj05irxY4bG23xJ3XrB77Z99ySNp+ycw1rngJ5kT2CaEi/0QJBRin0XcqGb97RO87rbhj2lGHn4TtvuOz6ZLVffv4zrFF1PZOytt57nFefScAFLf2HH/gdFgtyCAsW9U5ZaO8+QOHBAKTQ+LyL+iFnNbwpgmgP7mk+b2jT7Kap8TrhKZJ1lYlCy3nGNFPujgALmmN7x1Sq+6cAoD+efYVw8BvVRx1ArOf+GR8c9NZxTKyF0cCAIew9I/PmlT1L8aRGgdwW06ruabUsABmaBwNt7Rv73pet05Rccw+qJP40Tkz94SypWVeFEUBRqbxqubBu6476wQ+s4jOOqEZqGAY0T6CA4CYkt5PLpgff+SW0z4ZVDz18TGNF904rO9klLZ8c8UgubwHAPrnKPL6QZpOMVyQQrN0sI0s2aRgvvdBwG3n3Cs2Gf84Zf630zbvX7T1ya0fn6dwAUpezu24YrZHxfGx77Mbtql77nltue6SWNoBAGq2wdtvuHbNs4fnKF9f0LKJrsa6KhVFtR3DDl7XH2OxXy6Qvr7w2No3CQNLCgr6voX7rhiMEmgcgIjCjq+vWMkbh5tGZyuaRuy+bhOS20TnA4kLOxX0tHwKiFwUAKh8xMovZcvZR+McEehHUQAYmac8cEr69paLTkCmZuCz3Squhl5JsxRaRNnAvw5rFTd1A0BB5/yGC0bH1TxjizpZCIoAlPcv/PuQ+q4bdh2zTAAYwjOuGATfM/MnMvmCgsWIB1A5RP70vNHvdt5KbxoT+kRTVI6CccyRe7YAQGUj3qnVX1+1vm4dbRiefVwjaPslo+i8BmzBSssj5d8nDK8aBnfPk9S8snfftB8TfGLW2D/1n0OPQ0qGZulMY9+nH56zuOeZbR6ddcfx2SmdqPcOPTEPewYAWi5hB68atA5PYVrW9srcfsW6f5oAABQe39Qzbse5R7Nc7tsM/ZL9GgUYnCG6xBVaByY3949irxkA0TlVBq5h1V3jmNXyAaaoiHtqpapT6hO31PDizryueSOv+IjMYhZA49CEnlNIZPYLPANFAaYpnLCsamP3yJbBMQSAjEJm7aCu37NbVnEPHJPsY4uaxshY+H6UjLgllt53SHnslpJY2ZvbiX/sEhdfUI8pbJzKCXpW98A17bZjhnFwXkX3NLYQxwGIL2lVd8/Q8EhLf9E7SWN4xmTah2e1DM1hccMpJhKS26Tu8fSOfap+QHZB6wRT0PKsyjZ97+Sn5W1UNhcFmCQwHCJzLYOfTpHYokLBZEQBeNY4ZhCYc9shVd09PSy/bZq5KEQCjROYXq7tHt89SUABuAD5L9qsgtLiC+tZCMIDqO2bNvaMCk0vYggc8+KuWcOgnLuO6Q/d0gOzm6boPADgAjABntb26wdk3bJN0PBIjy/pIAt1JaKmGTItMK3YKjSrpmdc4q0o8QEaugY8I1PGiWQAQLDYBQ31SCi4bR56zyI4KqdmgS167s9Kh20K35A5nMDkAiOfJB2POF33WEPvRPvIvNSKbhxjMTyCAtR29gXFZfVPzmCF1/XhLAJTb5n4P7AM9ksvn2QAAkDj8uILamNzqzj8RRY6h6dcorNe4sS2w6MAUxS2X3JRblWzqDPIA6jsHneJyBibJWER+YE5hktU9l3z0DumAV4Jhf14Gpa9ornLIy5vdJ6K6X2KQPaPzazqGmMB0BCYRCC8sNnYJ94zuTRrkLX5spVfSjlHZMaD1TmIpztF5d42Drhn4mcblNo+ScKYnqTwAtLLNO0CCxuH6gaJXjHPxubIWK6W3hGH4MSGvgkEYJ7K0vRMvGvmz8OMSvyIDgSACpDTMGTgk6piGqJqE2kVmZ9cM+yYUHJN2zUhq4yHonQEza3r1XSJum0aEJBWWtSBi8irbxucRAFyKhoC08tm6dwFOisoIbu0dQjjn42ieVWN4Wl5RC5vjskKSnhWWtfOW3wFhXU9YSn5C3Q2CkADyKnt1XSKvmEcpOUSlV3bg3nCDB4EJeXm1fVix0CxEbSkvsMvLoPIl9iAiwLAMInlnVhw18zvtmmgd3IJtgG/cXDGNTJrcGoWAZjnQGhmuY5TeOrzWjYfAYBeIum7Ow4P7MKxsXaOygpKfR6V8ZzOWYR+CXvkA1ABfJPy7UNSpllL/ZTM5iUUNUZmlmCpyQiklrU9tg+7YRSk6RyTU9tHQxdF3TQ0bROWpWMX2D+Dz63vDU4vIS5+cgqT82TXyMz6gRkEYIzIcorOv2UaomoW4J9c0jBGj3xWnVHRygHIrW6MSM3HERe1nFfbGZDyfJ5KBwAWghTXtAbGZ1L5q3/N90PSKsu8y/07kPhAGV2CQpB2VIPENmaJk5pEQ3kskeyiQ9DyjdASt1oJx3lRn1QqWiGACmtEBcuzy2sUPlmBRNOzZDyX+kTiT2Rx8wMq0RYQPJf6ajkzK3MujPsjy5KhIn8i4q9WpeXHBC0n0VXfxSfoku8mESIQH87Eegoq47esNBJmInrKzArq4ALEZVf4JecJpZ1Q17vhjHZeTf/yjMsZlbYmKb0iBIDJ5Yc+q7APTMZeL7+VXkhs8V7Q1j/a1NnDEcmwRtNFxdmW/C2STVT0XGlZhH+iolmWqXA5IeK/l6cp6Jjcr2yaU9cr66ii5YJarhdUXDiiOpIKF1JJQl8YLYe4lWAEBVk6+tHpNQ5tFr9IXuZxVlLO/1qh660sIXTp/4tjztrlia6i65WtYI1J1j5cLKL6qoYhjee1t1qQ+/WPkVppaJQse7mKETGeZelBLI0oLKxBN5KFLLV8LXlEq4jNLNl46IaGc0R0do1zbN7XSqYqpkFzNNHjRV6RUCGHKAoA8zRWQU13W/8ICuvQqRjUynoHr8QpCpJe1RpYkTBqcR5W6GuSFfEBuoZnrAMSjqk63zT0JbPRFcZRkRqEmIBKf74CM6tdR7bMrlfshotqRRfxXuLf20evDv0rHgcr2oelJ1uUyYoWL/5WIgixUuGi2QUppCxjrMD1qkkkOceO31oH9L86rQ3HBcD3pipdB/QjKCoxu+Cjso6Dk1Xd6/Es4pCssaAl6yKzkPDc2uvmMZfN4pSMI0wDc9qWVmIRkR2er8scD0F4ggfr0dFbgyWoxP8BxCWzLinxAKp7cBfUnB/aRjUOzyxNQFGZCL08+LMeQlecpEmtTkripSNyUeEps+Km/taoS4JkQ/8rcyzizL5SGbLGSlSiwDW4kcuLlfL0jdErlvVqjoHM5oiLZf1FvHq6FTKsrR7p3fj7d5+WDZA8gBESt2kY340jY7v8BF/Mfk+dWIY2ZQhkvePoemv/3sFK2piBAFB5aB+OOEPno9LctJW5WuaKrcGTe2NilDBOmc7uW0UyD3J4DegXU+36y0BED0aWXbYExq1vABfNKfX3D0ivxrzU3iFd4OvrM98nrfGCRvE0qIg9iHqUb4olEQ3IKBNdYkMKq+sV4LJ6Xt163xBJ9rU1dltZXvAackr8fxlDUkt+c1Oj5Vp7hV4gvpogqcGVFyTeBlpbwOcHZXytLt6y/rNScSs9kRhP1tjSNymTVx5j3wgn68GdNy2f9aRaNeGbUQkqPUomYpbrqkca0i8re6VQ4auNzevh8S3EpeW0RhuQmXOlBK/mR4iV+/YLUJK+F+j/YRzJV4agtw/6X49emRMMx1Bpp6Rg70UCd8vrWkXL0riS4m2Jyv5Vw8QCWj5TlDF3FK9I2pKgrIEVWdyV9oah/83b0ttjnm+IpHrWgvW8ldf8ZIhi/RM2sbw/dRGvvrlTWuuW1CBTrKtlXIVWB+ylZ2+dCt6Q9/macYA37vS95oi+1szLR2JpQCzbHFZ+srZ6ZaZ5gyvnqyh3ubSlyX+1zQtSyl2V+XUa3qtIA32lEJOUJD9s3xdIZq21rl87PyC9GvSLvfn/oV+SfmLQ/wPR9w/962dJ1PFbE/S/QWtbt3J/EtC/NvdAJvSvd+b3+tpYp0ODrgf6JZv5VtHr7OvH/reS8cnes/Hjrmv9SLQ+O/2xpbTquPomh1xBIOVHplfqqKjYT2mNeGP9X8Y+ljdhJ2ubRr2dtAqfr9uG11Xf2ylDKTt8UBTlAZC4yBiRO0Lijkr8I3IXGHy+0PUSh34uCjgyd4rMpXMR2QL7sUHtx6K3FfoRAC4AhcvDUZhTRCaNx1+6ShTFzAJFARh8dI7CoXERkVdLhfAAKFwegc35/9h76/gosyxvnM/u7O/d3Znd97c7Mzuy0zbd093TQncjDTRujQUNGgJJCBAkxN3dXYgnxJUQRQIhBvFA3N0qVZVyl+f5vn9UqqgINLTPDOdTn6Tqea6ce++533vuuXIYIglTJGGKxDyJVLUvRwawJdJxhnCKJRLKiUXeyQlSKUkciWySLaTyRXy5XBWdBEQkyZZImSIJUyRhiSQskVgkn7vtQQpwpPIptnCcKWSKJJL5kwO+nJjhCScYQr5MrjogqigyTyafZAqn2UKeTK5gSQ4IZTK2SMwQiZkiCUMkposkLImUK5WJyTk3NXw5Mc0Wjs8KeBLposPqixvsFRRzpkg+zJSod7dhlnSEKeVInuPg6UeBfsVHArDFklG6kMIVCYjFLQg5wJGRFLZU9pzRT0ySXKlMKR4SlkgskMoIpaBLAKZQMjYrpIvEouco1go2mGLJOENI5YpE5LMbwhWO2plKCWGKxGyxREoQpJr4TbAE4wwBVyqTKhMnABnAlcoUCQrkC1FLwZuQAIUnERAkAchJ8KQypkis+jDEEqZEypfJZSQpV3alUYaQwhXyZXL5zxXsnkG/ukLBIxGe3/jm10ZvHXR567DXu0d93j3m8/ZhrzcOef7hayur0Hwqb4HDwjn5nubwN+n5rDntfru+d/GJ59f0Q9BzBpTFI8ecg4vFQSVAec/sSevor7Ts1p5yOOeW3jik5hWLnEvren7l9jN2FU97lmRjis0/ZBK6/nzANoOA7QZ+G8+4WvqlcMQkCUgJorih74hpxDot57Unbc0Cs7up3AV8EIAYqO6iaFlHrjvttFnX1cQ/s3tGJFUWI6e69atTdtsv+m2/6P/1RZ9NWlY3KxoByIGHXdQzTslfnXb8Sst+n2FI6sM+PjHH8yCDe80vY42W0zot+4tuSbX9NKny+vva/hk9p7i1J6036bqdd09pHqYQJCkFYrLu7r3ovvmc15bz/lsuBG4yCF6j7XLCImiUBxnQNsm46Jm+Vstp3UnbMzZR5W1j8lc5APtiCs68/4ddNm9r+r51yPPNQ55vHvT800GPtzVsEosbRS87fHz/RABigsx42Lb3avCXJ+03aTvYRNwaZAsWdHCqmDSLvH3YKGiSKcJ8y4/i672mnqOmIRv1vLddCtxx0fdrfbewjIdskQwAU0bGlzRpXPH98qT9Bl0Pr5T7sxL5gvRJQECQ6ZUde6/4rjlhveOCj0dy5Th77hYVCeAad3vzef+tF/x3XPTbrO910jywrm2IBHgkmV/df9AoeK2Wwzotu9O20WXtYxIScsU5sr4ZXYfYNSfsNul6mAXlDTN4ANRHWj4QW/B4t4Fndc8MABpP4hVXvFHbbtt5ny0XfLde8NtoELLytLvT9VsUjkAK3G+bOGF1ffUJ+3Wnna75ZvRQeHPo/yPuon4ZmoP+BWwpoP/t3UZ/PuT62/0+/7zVY9kml//e5/XWEZ8/7bK2Ds2f4YmWSg0jLN6fNFx/+7VTTmXfz9AJ/d8lvQL0g5SQoHP5fLHSxxZJAuijMLbo+2pYJhW2MVMfj282CD1uHj7OFEKtAz9om1pzxvv3G/VLmruxVI6Puqnv7LU+6nXbJqnWNqHK6vr9xOImvgwASuravzppo++ZU9TJjL7TuVLT0tgnlcafpzGTQNsYe5u2zXHrmPxWZkb91D7D4JOWYdMiAgBbDvPIsg8P2lnHVtknPnKIr7AJL3zUMwqgY4T69Xm3PSbR6bXTpd3MC4ElKzTtSh/3ygGKQHTZPW6jrmd85URW/dQhs4j914K7Z0QAOkZp+6/47r0amNc0UdDB0rRMOHrNr2OcQgJ36npcE+5bx1faxD+ySW4+G1b3f7eYHzQNppPopbGOmgR+peMVdX+4qJ1xziNrx3mfqrbR79aAzxrCPv7Osk9N/2W79x8P+bx9xOftw15vHnL/836bxJJG4XzoJ9W+LDg5/bxXC2Kp5UyqBxDIZDSegK/U3RV/ix+1rjthd96/pLSHGXu/b7WWm1FQLl3w7FopKZBRNfSrjSZfnvEeZSy8ilTBRkDG7eWa9uf8ShySG+zjKx1jywprh3kyUgpEF9SvPm7vlFRR1MF0TG1YfsA46Eb+YsHOedDwxRHrK4FFZf2MmPLhtdqezpE3mUIJAB5B7rgUtM4gzjz2kUNitVXsQ7/0it4JFkGipL5r5WGT8143i7uYN5sphy3jNul7P+oaB9A5LdhrGHzAJDK7fiqhcnKTrpehRwKFJ1TnvLp3+oN9xh9oOt/uYABgicmcyj6bqNt28dXWCY/tMlr22Bf823pzp/gyLkE+6mds1PXQMI5IezyV1cDQNI86ZuI/xhH8DJFQCf3za1kG8GRyukDEEorzWibeO339v3bYh5U2zQolVIGYK5ERAEsqH2FxB2ZZk1yBqqlH2fw/H/H+3/0eudUD0tfQ/+MRCRACmWycxaXyhUqTDLngChsCGOfjuJFnWnGVlHz2ML+y/eNDtgXtHIV3sNSqls/3Gd+qfAplp53ginVcMt495LL8mFNxUxcWYAcgBpKKG1aftG9hyBUeaEWAmCABzIjl+p5ZJy1DqUr0CkrO1zbz6xqjqBdACiQVP9p11qZ1jKkwy9yq7fv4gHVJCwXAEENy0CrFwDsZSo9sIhIikiSB2Jy727Usy9sH5IAYGBZJvtZ3v+oWS5WT97ppXxw0iy2oU3Tlu0+HVp7yDMysAJBX9ni7rkNBbTsAOVBU37/qoEluTTMAMUHy5SRXTvIITMtgGl/3xWmvmu4ZARBf1v2JhknGw1aF25Y2imCvYaSFf7pcZQMjF355ycZTkFPS/WUfG+2xK6gb58yKJFSRhCqS0IRivtL3IUcqG2Vx++isIRaXJpQopi9siXScwZrkChQ3XUtI0IWSMQaLJhCp+qDKvkHjC6g8gfS5i3B42Nx9zCy0pL5bJR4AbEOSt+s4N4xQSUAIWMXcX3HCuW+arorZNE7bYhDy7nG/Dfr+o0yZWoIEQBKAHDD0SzxqFtrPFCrMO0JASIBQeAk18LaJKWOSAEARSa18YizcgxfojgTgFpZy0iy4a0agaGvbyJxd55xbR6cADDMka045Bpf0sgEZIAKEJEmSmBUR1mE3D172HOPKFZbA221THx91C0wtBeCX/uAjTdeS5n4AIiCptGn1EfP7XROqCcfILEfbMenTU14fa/nc6WQSSvsPT05y5CSXxLBYeswhZduViLZxFgCjgKxPj7s/GphWWBQbh9lfnnSMKGxdWlP+SWlp6Fenih7KR9qh/7PdIq28RfVwjM33SLi98YzTCk2rY6ZBhbWDPGLu+Z+PeP+vhkde9cBrrf9HILW79PGorW/9cUuroPRpBl/5cN79JyQwJMG6M86RN2vFag/LmgY/PWKfWksRAGIg9m7dmiOW95t6FW8lcsIl9tZJx2SLhEfrdb0LGjqwCPrZUrnT9YIdl/yaZ9gdY5T+aRpTMtd9qjrHN16MCC6oFxEYojJHZjk0OWYJQkDMs1/LAapI1j3FVzAmAm6UtX1+xK6sgw6gYYC2+Uq8Tey9ccps19j06CxHoXBKgbqOocKKJzS+UMEJFThoEqxnFz4skHnmtq8+4TBInSvrMFu23yrlrEMMCTBE8i6alC6ZSyTtQceXh8IJnRQAACAASURBVM0L6loXVO+DJ2OrjtsF5tZKARYBm9jqTTruo+y5SucBhqGl+y75jNDUvZN9q6k9CcxBv+Ehx4JeNoH5szY5MM4WeCaUbNG2X77fbMMZt6veaTWdk3KgqW/8tKnPviv+ibebSKBuaPaca8pePYfcslqVTqZYQ5cCtr4xxu6RTN5C10MqKmrsWaMXnPl4QBkRAHwSb23VcX3QPSkD2CRMIko36fsPUudca01xRZe90k65F5gkd2w85zXCVL8ckwBJAJiS4qBF3CWfnA4Ku2N0emCGwSfnVlyKajpXnbCtnORRhNKBGcYIWzArB4eQixfNWqaYwsFZsUCxrkDCKCBdw8CzY2KGBMqahz8/5pDSONU5Resep0xyhAr5Y0vJkoah0tpnQls3yv30pK9bfBEAPef4XaZJ/cppyihDuu6Ug0dGgwLN2DJ4xhcdtbweUNz/6SnP0g7GAn7kQHB22ZfHrPPrOxVP9puGHHLMneDPCT9TJt9pGKHrdYvz83LTAryUW/b5DhrlAFUoPeeR8t9fXVp5xmOvcdgHB23e2WOR9mhMTmKcw39XCf1L25Vf0/dCS43VJXUdv/rizHGL66M0nvpzAhBIZZNMdh+N+XCcs+KMp2tyTQ+NNUxnzfKEJEDhCc64pG2+HBl5b8D7VuumS5FW4UVs6VwOuRVPt5wPzG/uzX7cue6kbUFDO+ajGwFQBKJjluGfafkcdshbe9Zn7Wl3w6D8HjoXQOHjjg1XYtxudvvnNWtax++9FhmU1zApnt8VlMsJckBIEC0jE/75T9bpeJuH5Ck8KJY09rx92HOTUbKGSfQqLbdtl0IS7zbxJBKZ0nAvV3JS8HTmkyPWkTkVkyLCIOT+ujPuHOWy47QI+j7FmiahHBmpWBgUAe2TM1F3uzacDzPwTBtnPVuBIIBJgezgFe9T5kEzEhkAthzOyY/Xajn0zMwZBOiArm/R+jMuTwYpWNQgL1Cn5gVS++KcdH/ZZ6YrL6cF3e7PaprMeDyRXTNSP8AQEaQEsI++/Yetxp8ecdhvGrZK1/tXaw12XvKflGJWILaLLPinL/TXX4wq7GBciby/7LPzB03CukcXciUFbPxjTTwiZudBP6FYXR+mzU7RWbH3Wr7QiwgpaRuns8ZoDLZITAJPh2f2GQYdss+JKR90T6tfp+MVWtjIlZMABEBETuXei+5Vk3DK7t6k6zbGWELHrR/hfakbsuFC2FG71JVanmu0PfwzaqaEcgEQk/9og55neuuQWdQDDdNoTdvU5Ie9HBm55GKhHJgViWv6x+ySHn1+0vt6Qb2AhBgIy6l8e6/NYZeSrVciV51yOWAed7uVJlUu5KpOLcpI0if9/nsHXfIed/EJ8pBx0FmPWyoXfHwSG3XdroWVMWUkgNza4a06LuXtk3n1I5+ecC3tYBKA+ipGZQ9lxSl3++vFqgIfsQjfZZEypoT+GZF8lW7gbtN4lvRnt/T53Dt8VN8XQD+AG/c739Bw/fBU6J0pAQPwvzP6mz0em65EzUpkkwLRIuh/jf8/AC2FK30UpndaRW5VD1O4UM76RqfsA+JPmofst0p9c5/deh3v01aR523DMoofiUiSLSPDbnd9fNR1rbbz8mMOa/RC0mtGeDISQNc0+6hJkH38PSGQUd6w/oRNceNCrR8AhS/UNHTfrOvml9d8s4nqmlrz4UE7PccYoUSWVdn6zmGPL/XD9N1Tw281mwTnf7jnikP0bZZYzSKsVhymQGDsGrnyqPWKk27XS7uoIjmA0rr29/eZn3TKSK0eyXw8qeWQ/MFuw+SyBqkaHzKgspu24azrIZPQab54VkbqeBdvOe8nUO7aoMlgFFa+77LvFHtuHsAn4H49a/lB0081nXyzH1OEMlXFSYGsx+OfH7YqetwjUaZf2Di0fJ+hY1TBCJ0/xRJm1PR/quW3Qdeztnd8cZ28LPSrWWSck8qWrbb5P1sd/3P91f9/3YVfr9X99crj1zyT6DyRHAjLq74cWHB7UDIEJLbP/vsmy49P+FQMCAF0TDF3miX9apPFh1qBf9jn8ecjPrdaBhezJAcEAH/u9n9CyQIJoKlnXNfUXd8+cvulsD9qOG+8FK5nF6Vv7vOw/imASS7fIrL4k6Mea057rNR02HUt8k7PpEIrL++c2KnnnFfdRgWcM9o367pNsJeAuYq20a8NAg5cC44ubsttohqHFf15l6F3Zj1FJvdNufuJpsPmy5Fm4SXBeY1ajvHLD5gkFD6WLt78DwBoH5zQtwn56IDlxothObU9ArlcDPglFqw9aX81uDijbiqmrG/b5ZA1J+waB+jqNSAhkVBa9+l+E8vwUgaBaa5k/2Xfy0F3qEoDlRjYYeB3xqdkRkb20lj7DQN9Mh7KgFt1Q8uPOd/t4qg3mpyES3zhF1re1X3Tqiy8kh+8p2GVcK9piiUcmeXFFD15U8N569XrrIV7wX56WqD1L7ERbTH0W0Xf/uf11muuZXgWt0VXd9rndv9qp8evNpgMMvhTQsk7mj7zDT4/u5nO3ysR6vecqR1WIoHRaVpYaoFlcPqlkOI/H3TcZxxlHZbtEpFZWtPKIYiM+22fHLFzSavqm5W3T0tMQgvWHLe99bidLpaZhOSdtIrppkskQOLdljUnHPLrekmllq3IggAEMllD50DnKFUCEAAPCLjZ8Nl+44q2gcy63n/68pqOd+6sGADkgG3s7Y+OOFe0DS9ZCilBTMzyuif5LvF3PjjkFJzfBGCSzqlsG5nkzLm4G5kVaFwNOGSVOMSSqcp+t53ypZbL3st+zSNsAAwJcSng9lZ9b4HygkaqFNdCyvYa+Eyw5ywSYoKc5oh7ZkTB2RUf7Tf1zKplK53o8UjouKZrGEdRRRIo8ZHGEzpF3vz0iKOmXfpF/2Jd38J1F0O2XfBvHJzCfA3+RaD//NdOSfeXfWHx9omQI3aJOi7xes7R+g5hSQXVLJGUBARA+8xsTnOvRXLrFsuiX26z/8sx34KmGUVbFLeOfXDc5xfrbX+1xc47u0H4nM2RpJodSf00W8cIxTEwzjUi+7h90luHPY/YpTiH57gEJzV09AqksL6e/+Ux29jSp6McNAwyT9inbDgX2DrJGGULjlrFGYcWM4EZEvapLRt0PAZniWfGfuV6E5UjqnwyMDo75xtOCJz1zPjklHfT1KzXjdtv7jZ1SK5RIOuUQHTGOmLXRfdJydKKP0coHmeKGoc5591SPj9sUdo6JAH6ximP2wc5ckKxvfLRCHPVEXPLgFShUlYlBBlV9OiD/TYGHumjdB4AmkB2+FrApcA7VKUSIgK2X/Q97XOnlSG1DM4+ZRM1JIYIyK4e/OS4a2E7W+W0AUA/hbXfwNM4OF81xSaBIYZM1/HG8iMOp92yLwcWHjSPX2cQt98ynilZ0gvnT0lLuGVfEGIx9F8KyF22xvLNQx5fnvbecMZjs77vhivxu03iuinCcZ74nSO+/6vh+drW/2PSi43LCkOKYu2rV4q1ej5hBR1cQOEFc4on0DILPGQWSlW6guqicfca+Bj5J+S0jP1pm/H+a6E+adWuN2qO2yW/u89Cyymj8NEgV/hMlBW6pHi+4lDW0ffJPqO0OzX5T0f/sN8rIO+xKnxO/cS7h92zHzYvYJIrB1f+zAvSMFey3fjGbsMQ1bqx+sYBk8DMlWcDm8ZYAGRASePYmhMOh0zC2ifnVpNZctjE1azXdlaODpgU4qzHrUNGQWwxKZCTHDkkSp4lwCmH+I0XQ7qm2QBIoH2CueK4vV/uE/5clnNwxgeSH/QY+WfaXS+qGOfapFbs0Pfuo7DwfUH/x9f2O5d0sOVSQARIACkgA8RA2sOebRd83t91dcsF/32W8b/eaff+Md9bzXPQ/5Qq3GaWuexL6//R8I0r73+l3idXWkUA5DcNrLkYn1Y7CmXlNIyJ1p7xcoq5o1hBkgE1E9LPT7gGZtQEZ9T8acsVPe8Ct8T7DrHl20wS3z1gZxWcf7++a0GJhYBgvq8xv/ynfzrgUjM0FXWr5sPD1g9G5naLiICYwsbVp5wfj4jnrQaR4EkIPjF35xQBtE4J155ytoi6PyObE2ZVqYc5/EPXArTMA3hz25bI0JwHn+wzNg0umFSuy4iBU1aRp1zyJpQGHzaBjTruBuGPkh/T/rJdX9MyyinhoXvCA23H5D/tczjpnJlT1gBlFsl3Hq/VNM+tbFY9UYypUzKE59df8UnxTy9/NCE9aJ992i2TLft5G3yWpMXQbxNz5xfrzPdYpD3s5/TNSir72GnVk/n1E2wZRjmCd474/PE19P9gtARuKB+J5SRDIONKiGd+LpU6F6E8xNTHwwpNi5CMcoFSUic4/CNXvc7aRQmUnX9aINW2vn7W6Xpx28RRy6iDJsH7jAL2mYWs0PH5/S7blWc9A9Juz3KfGYsJYGBWFJn54OkQTQX9txoHPttrmF/VUjXE/FQr0D2pTBU+89HQewed8yqe7RoAIAJyqrrDcqqEyuJNi8nD9jm7LgfwSDxo7E8oaaRJ5hR4OXDBLXHr5eguuhDAzbqxL7W9zjlHjbKfHTfhk4i617XymHXb2Nw8vZ8p2mYYc8EtCcC9hp7AzJpx7rMB7IJnyjr94PYpJgAxEJVX+dlB00ejLFVlyoFxJremrZujHGinCWjap59zjOZKCHy71d35NLfMa5/TQ+ORyjUMRZEHGMIPjrr8+0azgLzaKSm6BbK391r/RdPzVgsNAFcqd06r/veNVv+6w/0XG203XEttnubimcX1GxhTzQYA5Ne0fn7CI6W8Q/W2ZpD7xXHXkKwqRUg5MCTFOm0Xx6i7scVNWnYxe42DNYwCdhmFva8V9D+77HZeCoy7Vb4gy+qOseCs+iH6s1Uop+Sqv2i6tIzT7jUNfnLQ8uZTmmJgkABhOTWrTzo2TYnUE+GIZIn5lTmVbSonyeMccvNZd6Pw+xMSZN57lF/xRKCcyQxxhV/ru110vi4EOFJJYNbDT486ud24x5lvgzD0Tdl6JbqHPrd40zHBXX3M1q+w+9ZTio5jtIZx4F7jIA3joNW6Ab/e5fSZlrdHbI6i1/AJGAXd3K3v0UthK+sZJNA5OlnfP6qSwjGeeO1ZD5fUOsHPbFM/XhL6Pzwd9tvtliroz68ffveA8xt77CLvdz4a5Tqm1Gw772sdkssniHGe6O0jvn/Q8MqrHnwN/T8ELQ39AICnQzOXPLOibtbT+UvOLkkSoAnhFplR3tChCsGWylyu3/rsoOmdbgoPkAB5tQOrNS2dorPFAAOYBWgAE7he1vXZSZ/MxiGp4mynDE8HJgan6BKga4qzco++vmP0uBgE0MuSn3XN2XbWYZjCmBGSeu6pW3XcW8bYMmBWDD33lA3nAlqGqQCG6dy67jGuSCIlSb/Usve36xU29IoAMXCzfuDjI452UUUEEJZW/O62i0n3uyWAGLhVP7JK08oh9i5HjsZh2kotn00mGQ8miH4OehiygVnxNEcsAlqmmBtO2dhGFNIAMRBT2vTXQ/bxpc0A4vMfvrPtYkRBnUKnfjRAW33C1jAonyaQkQAPsApO33zGboDFUa/t6qd9G49cSrrdrFDJo4tbPtN0jC+u/b4a1zHpwbKPjQ7ZZ/ZROQteNQww/7DH4d+3u8Q9nqwd5zqmP/63NZfePeqX1TwrBW7WDf9xl8PbB90Moys3myYv++zilZBiukCMOVPVXCHkQPvIzNMhivD5HsKf9I25ROfXdY8pfpIAhYfjFhF7DfwaRnkygAWEFXd/fMAq/1EvD2ABNGAWGCFhmda1Ui+ojQGFYkHjCmu7x8dnOQCyyhre3XrBI76YB0iB1gnmJj03bZc0Cl80zZNtP+el5ZjexyJkQMuUcL9hwAnzYCYBEUH2T9KfDlH4EpIrlFxxDP3yhH1lP4cE2EBoXt2nGkYplT084KKtz+qDhhV9VCnABMJKGj7ZZ5h5v0VIIq2m+629VmeCKuvY6GURvQxZH11ME8oAZFd1f3bMJaKwTgzMAvbXS1YfNq8ZpPEBJkAHaAADSHo0/ZcT/rkdIp5SPRriEPstbug5JfAkJNS65PWssu3aduVtYwCocngk3l+laVXVO/uzs/QvhP6l9IN7rWNvaLj86wq9hJJHiiAsGbzTqv/4tcUvt9q9fSLs/6wz+ssB25jix2KSHGPzf7vd6j82mGeWd72G/h+Onq0OqmkTGQ+bl/3nji+1vfunuS+IuPhJ5yT7oGn0am0/0+uFptcLvzoXqm0f2z1OU12ioBD3xOKaT/ZczX/8BIAc6J8l9p5zdAhOZslkAoIIz3mw8rjzKddchxuFR62T1pz2SCufM+k87hn++rzPlovhNoklp12TV590iS5pVpxyCcioWH7A9En/OIBBhkjHPmadtpvJ9WKT60WbzvlrO8R3T3FJoI8ye8I2ds0Zb4voAvOY4nW6AWdsI3snZySAnlPcsg+1lp+L/doiZ6dx0k7j+D2G4bYhWSyZjCeThWc/XHXS7ZxfybWw/DVa7pe9M6a4cgIYoXEMvFK/POVhHJ5vHV+88VzgIaPgllEqAAJgk+T+i47HrnlP8VSTEJDAFJNt5HVj7RkPi9jiK8F56057mgTlTrMlL7ek+81kHVW07PcndhtH91KYCxqLyieP2KX90xrTX3/t9Ll+zGdnI/+03+OXGyy98lprR2ZXa7kt+6ueYXApG4h/0POfm8z+5Qtd77S7XJFUAf0KMZEAWpahBwyDZjj8lxEMKJu+tKFj4xn3HVeireOLDIMLvjztaRycTxOKoVpbAtgkbBNqvjhiMcKYW0opre349KBldF45gBmu1Co8f8Ux5/O+WbZJxTsuB+2/Fvx4gKaYjKY9bF2r7XHU9oZ1QvE+86RNeh53m7oBMIRSm4CUg1f8u6YEAGq6hrdd8N9uEGqfWGAQXLha28siJGuayyWBuq6R3ZcDN1+KsIkrNPC/ueKUh01kiYBAH4238WLYL768svpS/E6LzB0mCV+bJGw5F5hYVAdgVgTT4Py1pz2vhubr+5d8ftTJP+UOWyJRrYgoPjkVne/sMilupalqqbaf9tFhR4ugjAU11j5GP2wUtOtKsHVCoa53/uqTLsHpZQKSIPE9TAq/X/oG6CeB/mmmT/Idp4jM5t4RUtnSbALp5W1GwXlnXdKNQ27mPu5ViBJTKPZMKHKJLXg6NP2zM279HdGS0N86Mn3VO+V6fg194TUb30AyoG1S4B5XcM7+uq5thM+N0p4ZHubLAgm09AyG38jtGp1UiMEMTx6YkHPzXjVPJiMBPpBV/vSKe+IZq1CrgOS7Tf1SNXvF0yGGfUSOts31iy7RORWtCjMKCdyp63QMTRmZmSVJyIA+qsAnseisbZSu3fWA5JJ+Kg9KkeuhC32TS/Rsw87ZR/gn3x6e5QPgkojPLzcPSDYLzjTxSzH1SzLxv2HumxCVUcSRSAGw5UgsrbvoGn/GOjwguXSQPpcggGGWMCjt7lnrMG2bSNeYW11TygP3gJAkozMLC+7X8tVMtAo2Rhli78RibevrenaRkTnlExwJ8I3+vV+KSOBuQ+dV7+Skksc0rmBBknKgcYTtEH9H1zXVIjw/r24ktaLbNjIv/1FPQz/F0i/OI+nukxE6gEmeNLq44ZpXbHJx9ezcgdu5lKRAVPbtkLQStnChhLyAfcVKQFXHhE1YlrZVuIFzVEx+5bRo4f4NEYl7TX2RaYUsvmK2gdbBcYewtIrmTkXikzxpTH6VvmPUWbtox4is9nGW6gIfMXC7odc84IaWVbipf/r9J4OKBSqeRJZ7tzokpWiSJVRw8niAaheWqW0Rou94PfpWNU1MQjk+1fZR7CNydKzCLrvExBTUMOQAME5neSUUWYblmAWmmfonm/rfMPFPvuJ2vbSyWcHVGFsclnnvrG2EnkNs9K0q1lL6eefgZEDSre4ptsqw0z/N8E8uftjcoV5viuI09E/bh2VqWYRedEtIL2tSWVZ/3tC/iMilfqo/VD+8sWTg1/QjEbngh0px+WaVVPVWfZ32Ba254NWCbWGyZ8+Vd9srIzxbhFjEFUk+u7pTtoiNJblaYjvafCafw9W8BOVqr1Ti/bzCqmKpc/hcHl5xPHhR91H7IcGLaClmnp0Me1l2lM1DkiQJkphf8KU5/CaBWbIalerLsyfzD4Mt5otcEEyViMqnozqHL95cSM5vxCUrZ/FNqXi+eKjnKFnq4c+KvsOlzS+mn9kQ9/dPpLLOSRKE+mz1RSvDz03sJZvv+cHIZ9m88HozlfMTVaSXzFflMmUh5Py4gveC++W/zVSAXBqFyJco19LZLVlH858tpbUpvFCR5AtdR6qCk89P6zlskyoB+YakF/9+TpwX1A/5PGBfnMEiYVrkul29vRWZ/o0i3StA/3Pa8HmP/0Yr5G+YnnWnF4i6Mujze9D3Yr14Xg6LkEj14DnXEj+HR4IkCfXEFjjqe0nx+15Kqpba91Jtyrnad/AbTsxh0lJDAak2KKvyXGJoeAGSPifNl6aXkdAFeX2Xml2Cu3njtRovC4MSajNVBdtqo5zy6MyC538r9INp/d87zSk+329v/Vulb66FRR38ZRN4aRkmvzGTJV4+XwldAP1qoRZrkovfqaCfnPPY+upC8h0l60UMv2pCwHdTnsiloZ/Es5p5JR5/iH73k3Zkdd3jRarOvFfk80dE8jX0/4A0B/0vqy78fdPL95vnBHuxnfyVeHhhUi/J6OJgL4mkSwwLBPntivZzgf4fjoj5xu2XryXFyPw9ohv5czWA/wPRK0L/dxXq76g+vIb+lye1ql6iypfSpOf9f/l8viMmfFt5mItHLhKqHwd4f4oJ6Hct5fPiLz1qLS0fL5P2yzLzmn5K+vGh/zti92uJeUlSq+qXabVvD/3fsU2+7fzjGfQT38sk5tWz/9G1kB9qgFOrvedC/2v6e6Nvgv7vbLZcFPsbklusxb2m+fTyMPc3UYVLN/VLWZPmhX2Fwn5Ppp2XHlaB5xXkFTn5TiPc8weOV+Di21Xd34Qg/qPRjw/9Lxvrtbg8h358DfcnoFeB/m+d+PcR/btB/yvSDwT93zKRl3muevuafm708gafxTNc8kfCoNfjgBr9XVTGy1tLCMXWn59Nkb/xDBnxjUX7eRTnH0KBeE0voOdCPzlflon5cq2U3e9q7iTV8lr8mcfKawLww1TGkq2oapofACFeHvrn8v9+i6wSMMXd7lLlZb8vUbffN/T/ZLL9Gvr/0Wkh9KsOKUhJksKXds4KOxjzPp104RhHzJcTiwXnW4ixDKALpAN04RhHIiZJKTDIEPXMCtlS+Wv/jt+eXrolxAQ5whDOiuULLlwiAJ5UPsYQ0AQS5TV8r6aqL+RIef7l1Q6/vGTQV5Q8EuAR5DhP0DjFKXpKL2imPx7ljPEEglc4VvbK7CiqT0J8T3m8ZN4/1tCiPC6wxCyNBEm87so/P3qu1j/LFztF3nxrl8m7Gjbv7jJ6b5fhe7uvvbf72jtbz2uZePeMTWORUL2qmCngITqj6PPd+mdtQmY4fAmwVc/1o/1mpY+6X9/+9pK0hFvNuT8vPNlEkgCGpllfn7VOudeifsuzIk5Ld7/2ZZukvOK5sOQ367NKeq5G+cpA9JIRnhNs4YFY5d9BKjci88Hhy27rjplt03HeetZp3Qnzw1c9wjMejM5yv/vGnSXZkZFkxxgz985j6RJa0/dE5ItOxs17/MLx95VP5z4Lv7SB7jXw/wxpDvoX62JUnuSqf/6yFdd+87X950dtV2harNC0XHHU6vMD187bBPZNzHz3vBUikpB7e8NRQwPXKCqXLwDeP+z0qw0mWRW9PzuHZj8TehX4VDu6uTTc9EywPtlvGl7cuuA1CQxPzUQl51Y1Pv276bcEQICs6508YhK294JbfH5V9yRrViSm8/kdY/SYgke7zrscNwt5Oj77DUX+Vqo0WyK75J15xi7yx9JpXn6WNj/a93Ry6ye5S+M1vTzNQf/iBqDypFeD7iz7xORkQAlNLqfI5VNy+bRcPiOXs+RyEUny5SSFI5hm83nAFF/SR2WNswUCQAJMcYUDVNYkRygi56RPDnAIjDB5vTOsfjpngiMSASQgBsY4oroJ5tNZvpAg2XLiwxM+v9rmkFU1NHfb7N/eAekfmJ5TH3ISLKFkdJY7KxAvqXPx5OQwjdU9ThmeYbDEcsUFhz2T7OXHnELujY1xxX1TtEEqky2RA5ABPJl8isWdFYolAFMoYgilTCk5TGP2TlAmmTzxcxghAaaEGJxh9IxTBih0mlAqV1sfYkuIfgq9d5JK5YsZUpLKE4nkckU6AhJjs+zuiZkRGosrU5iGICYIOk/IkhAsKdk/Te+bplGFUqnaUMYnMExjdY1ThqgMrgwygCGUTLO4UuWJewLgycgZFlckkwNoGZw+fNX3sk9uD0vGAkZYvEHqLENCCIERrujRBF/TJum8W/Ike+6KYKGSq4EZBkMkVR9CuXIMUxm9E5RROouvlh0JMMWywRlG9wRliDLLEEoU13x2TzP2W6ftMokaoDH5UoIpktL4YraUHJ6ZnWbxBATkAFMkG6DMdk3MDM7MKtqIAMQEOcPhc0lQeeK+aZqKE4VFVAKMM7g9E9T+afqssraVTTEH/QQgA6g8Uc8ktWeSNsMVEsr7tEmAKpD0TtN7JmemOQKJcubAE0upfDFbjimOoHeKOsbgKhxkTrH4fZPUUQZHsEibEMnl0ywuSyRRqRtiEhSOYFYgFMjkNJ6QKwdNIOmdpA7OMFhSvLbo/rS0pMGHgAL6g+8s+/Satn8JD2CTYJJgEuAQc15YO6fF+m5pmpaxUQ8Hjrnd/PNB591m8WmN1KLOqYOWie8fcT9gkZRT3S8gAGCKJ/LPa1qrH/LGfpcPTwbss0zJedTLk0hlQPq9Fg3TKLOoBzMCKR9QQH9m5eCCy2lfawcLaEFtCGRkTGHDp0edPW7cAMJ6ngAAIABJREFUeRaCBBTwJ5JGFdTtNY7afCFgv1GY7fXi7hkmCfRQOB8fdzsf1XQp6N4ew7Dtl0Jc4u9McwUk8GRo0sQtLuNeLYCEogqzoFtuaQ0nHW7suuR/zDKqoGlQpGa4UJiW5CT6Z5iOcff3m0TtuOi//WLgJf+ClgmOgpFBhsAh5u7m8367roSaRty2v1FjGlzQN0UHQBNJo4uajltHb78YcNg8zi+9isITABiZZbtGFzgnVfnkPN1vHPnVWa8LvvlPxudcD9L5wrCbNfuMIjed899p4O+XXjnClxU0T562CH4yQFUwJySRXTVw2SlyepbNlshsIu+csgyfEYIlI2Lute43jtxzNcgutjytZvKqX/bd7tH6aWKTtmPew1YZCZYcyffaDptGbDkfuPdapEVIftfkrGLlY5In9s2u32MYuscg8LBZVGRJI0MkASAHeihMu8hiDaPIbQYBuy4FmAbd7KLzWAThmXTnvWNeb+53vuaX2TQuTnk4cNEjwy/3yboTdpbBN4d5aJ1k20YU77sWvv1y8NYLfjaRxX10PgGM0PnnXePC73VZRJXtNgzddCHYOrJ4nCOQAXyZ7Naj/qOWMVsvhuwwCDbyy20YoMkwz38AAYiBik7KBbf0zef9N18I0HNNedw7LQJkQOMQ5Ypv9s7LYdsv+us6J9+qHeTLSAD3GjqvBRf63ey4HFC4zSB4n0ls4ZOhu23TV/3yt+h777wckls/Jpjv6muCwb3qneqbclslme3jdD2XlLQHTU9HKRZBOb65T2zjKndc9N94ztcpqXqc8+L7p1/TD0vfBP2rzFYYJLil17nfeOCW9MAt6aFTdHFd5zgJ1I2KVusE/Ncmow+Pee0wiVmhF/of2+1+r+H2hZbnjmthay9f/7fVl9br+LZOigggvbT+d1+de++g3V6L+DVXE/9zu93nxx0rOgYB+Kbc+f1Woz3miWNsoQD44Li3utavotfQr06La4MvJfxS7v9yhY5JYLp6IEWw7HsNX55yMouvKuzghtxqXnvcwj2mQEiSA3Thm3tt3zjkbnb9TuajCcuY8k/3m/rfKAJQ0T6w47R1YFoRAM/kot+uO7f9cnBCWf+dDvYpx5RVx+zrukcX8MDgCYxcwteftIooarvdwfYraH9f0+2iZ5KcBFMiNw7M+eyIWUBOQ9HT2WvBN9/ea71Kx//pGI0E/NMerjzh4JT0sLiNFXzr6UZtJ9vwbB6JXirzmHnIBwds9bzyMmrGPLIa391vc8n9Blcqk5LwSipZfsDEJrYsv2XWOfH+hzv1fdKq66ZlG7SsPaJv8QgCwDRPpGV/Q8smEkD5k/7dl0MKW4alBBGSdX/5IWvb6DuFLTNXAotWnXRffsD8bmuvBDDySbQPTp8WSso6GZ8fsbaOv3/zKTsw/+lmLVtzz0gZwBBLna4Xrjhu45/TeKeL65Jc8flR27CsMomcZIvlZ8x8d+g4hue3lLSzAwuefKRpbxpeOiOR32ud2HgtYc2FiILG0QEe/PO7frfBYJ9RhKF3akJhfRtFeMYybIeOffztjuIOjmdW3V92G7slV3MJsm+Gu+qk4/vH3K1jylKrRyxiy/+qYeYWfVMC1A2MfXXS5rx/UdYTVvSdnm1nHS45RjLFCj84pEoKGoZYG3VcDxgHp1aOxJcPfX3Re6e2+SBT2EXj7b3osfuSX2L5YG7d5BmnxBVH7XMruwBkVTx9S8NhrY6fR0plctXE9qsRnx9z3G8SEZBTe+Ph4KaLEV/p+gzT2fNaXyw3jyjequM0zZco5DOppHrFCfe73dMVnYMbz7p+dNTFOu5BZs2YYcS9N7Ybxtx6LPnhlj1e0zeRCvqfLc0pbCxUnuRqUOmyDfb/utPrv3c5/nanzW922Pxmp+2v1lyMzK0GUDcuXaUb9P+tNjCNrqTK0TAl/d8DXr9Yb6XtnEoHHk/PvrHD9L2Drhk1w2LgXm27mV9ifn2nBCjoYq+4EPfL1ecyq1oA+KSW/W6b+W6r1FG2SKDQ+rc7ZFcPv7b1vyyRACAlyMbu8ZCM+xVP+tTfKcDfOz5/9SmXtNpuupiQA7frWm9VNorkRB+V//Ze2+MuuYpOPMTinzIPO2sXIgcqOgZ3nrEPzCgF4JFc+MYGvYyqpwBkQDuN+ErbxTOuWGGZUXFBYbI9w+Pv1io9OPKI016ley/7MyR40DG5UssnIKtCEZIpx1G7Gx+f8m2ZYEzypOu1Xc1jq2dISAAuEFPyZNUJ+1qKrGeWvc/A4+vLAcN8yAEeYBZRtOW0XfcUrW1Wtk7X3zI4myUlSUAEuEWmu8XcHOIKTH1v7NZ3HeGJSaCpf2LlCafYsm4picjs8sMmAUzgfsfAGk0Lu+uFQoAEeljkzishG087PhmnSoCw7PuGrjG9s5you/0f7DUreNJLEcr4QE1rf969KjHwoL1v1WEL38yHYoAP8ADzqOLd+u7t49QhusA+MLG+Z1hRUeMi+X7rxN0mMTNCMUNOaLnd1LRNEgI8wCe37b1dRsl3mxQ12Do04RyW+qijF4AYmBLJ914L1bTLGOXJB2mCL0+5HHfOnhLJAEyJJSctQjWNvNhAQXPfB7uuhJe2jQmkMuDpwGR6cQWVLZhrD2XjWIXnf3rMpX6YAkAKPHzSd80xqLKX6ZHVuvKYXcMgTbH80Mfg7zGKOWkZISWQWd31X9usnJLKFa+Csst/95VOWNEThdknpKjz/QM2T0em1cWQAG63Dn15xDijrIEEqELpZde4E9YxdOBBa/+nGsbGYcUMEgRAIbHrss9F55gZnvB76wWv6RVJBf3qeqQC+qVXg28vW2XxxeVkj6xmj8x694w6j8w6t+Tyup5pAqgdl67SDfz3Ly/kt1FIYEokffOQ53/scI6+0y0GOmmstWc9/6ThEl7SSQJ8oIMhvtXU53aj/IB1yhsHPf75M534e3UAvNPKfrfdardV+ogK+pfS+l/Tc2jeLf3PTl0o7xJXLODXtA7sM3BffdzhqndG8r3muuEZJgCga4r90REHj+xWEQCAJpRe87hxwMiXBzzsHNxxxjEg/TYA5/ibuy94PBmZASAHRICWTai+Q/Qk+5mLVzkgAXhA0/BMfnVLZHa1VeS9lTqBGoYhdAmZcLdx5dnQ0pZRVXiX5IdrDaLqx+hlT4Y+OmJ3zKXAI7naL6k0MOX+Ne+MN7deji/v66azD17x0XOKlCvvTfdOK954wqZ9kp7XMvXeYbf0B43KWgABSAEhUFLX89khs/ynNKacCE4v26Tj3M/DjFBsH5RmHnRDADgl311zzKqme1wRcRY4bBWtZx8zyRNJgOCMu2beCUNsXsuUdN9l3zWa5hdcb8TfftI4TGGSEAJxD56+scXgvGeub1qNX+KdwMz6w+YxH319obC6CQAdaBiculXVHJFRZhNevOJs8A7jWKpQzJISp11yj1nHi0EKAM+sJ1+dcmoemoXSFk8Davsnb1Y0hWfcd466/Ymms6bjzSGObIDGX6vl7JHdqvAQz5DITH1SNS65M0H2UBnHjP0/P2ii65gYc+vR497xGdncGQWV1k8Ah81CD9hmjHKkqicApsQyLbd8DeMIgbJF+IBresNmbedRpjCjuvvPmj6J954oXmU+aP7ikHl+XSsAGZBcNfbRIfu63jnoVy3IDc2yT5kFXXCJkgIPuwa2nbYLyy4DcK+5d+Vhi/Bb5VCepThhHqBrGznBEeD1bP4nonkGHzXjsNLg84nhuaCixdHkwOMxyWqdgF+t1ns4MAmAJpK8dcj9v3Y5Zz8akQDddPaWC/7/q+ESfrtbCtx+OrHxasKf9jis1ffZ75j0V+3QXyzXib9XD8A7rez3O6z2WKUPs0X819D/TTTf1PNsVe8FM2fFq6bBKcvg9K+vBH1w0OlzLe+gwidCubyfwlmuaR9W2jsH/QKJkUfSASM/znzod4rNOXLNv3OKAUAGiIHzLtFHDH0G6Cwo+SEAhlQant+w5ULQej3/g8b+BgFZ6w3j9hiG0GQIyXv4yUm/+x0UFVd+WTWbrsTWj9HyqtvfP2D/1ZWQI+ZBx0y9j5l5n7L0NfJPvNPS10VlHjXyv+adIAEUuOWbVrTxpE37BD2zbuSDox65VS2qalERRSjdbhBwKex+B4t7zMjH3D9ZDIww2OZeCb5J+WOAlsvNY2YhMwK5ojI7GMSm86E+SbfFJPiArn14wI0SlkQKoHOC6RCZvfOK//uHHL846R6cWzslR0hJ+x+2GO40DNU08z9u7qtp5nfaLsTE+3p9Vz+DL/XLfrT1fNB6HZ8jpr7GQZlrLkTtNImjCsVMKXHaJe+YdYIIJB/wyGzZqus6QJ3zwTvF4bulV208F7hJz/ewsY9dRPYKba8jc9DPW3fKMaiwiwcAmBVLzf1S9xm4UkkCwDhH6hydu88o8GNNl78ecXFIfDDJFpCKzfSAor0OGAefcr81zifU62pGIjtsk3LcNkGoGCkACRBU0Lj2qHXHOD2jumO5dlB2dY8iSub9pnVHLQvr2wFIgZSqsY8P29X3Ti2ofBGJ67kP151xbWQRfjertms7dozTANxt6tl40ia2uEolP1pWQXq2kRPshd7hX9OPRt8E/R9fPRdyZ3E0OVAzKl2tE/gfq3SrBicAUEWStw55/Ncul7zaERnQQ2dtOe/7Rw3X6/eHhtj8I5Yxy1YZnwutHJaijcQepzvLPtSOv9+AOa3ferdVxghbxAc+OOH7y20OmdVDUhVPr0mN5s3O1BwMyQGuDBQ+WBLlBnY1B3KdI5MdUwwBMCpCbsPkPpvUd/aa9c5wBumCT4/ahZZ2K6CfzpcYuScdMFZC/1mngPQ7AFwTbm447Vw3SFFkxAYOGAXq20VNcQUqZmTAg46Jj/YaGgYX103K2cAMoBtWu+Vi4KSQSKts//CoZ3p1F5QcG0eUfK4b1jTOqO6a/PCQQ3IrXQxIADFAAR6P0iaF6KTMHr3me807XqL0ueqbWrjphHXrOLWsj/3REdfYolpVgnXd09llT1kCkYggXVPq1p4PiX/cv+6E9YMno3JgnMEx9Yhzjc2eIaHrkXfCInJWedAo9kH/WxquuXXdAApbxrfruj9o6ZcBneP05tEZCTApR37ztJZTyicHbcpHRUkVLR8dtCvuYSu2qMmBPrG8fniGJZWnVPW/f8jB4npRywTBBYSAhkPOhkvRFIGIKZVrueSesL0hBXiAe2bzVh3XQaoCz3Hjdv3be2ytYh+2U8EB+ICGzY2vLTIG2JIBGu+rUw5BBZ0KmGQooP+S6xRB9lH5LUPTYmAGKGtnnPPOfmefbcq9lgUyo20ftdM4fkjhQR7gypF1t7a8l6bre3uHgT9TqTWwAZPrFZvPuE5xhBmVbZ9pB2bXPIP+tfOh/xM16FeQIpnGwYktF0JMEp6edC0w9EpWPLzb3LPhhFVMUQWU0H/KMkDXNuI19P+EtMQyr2L2RuVJDYNL/2mF2XqjxKjSR9dLqyNLayJLa6KKq1Lu1gwzWHVTxGod//9YdUYB/XSR5J1Drr/e5XizdlgO9NJZW8/7/EnDJbp8+MkUbb2e779usrdMetQ5RnPPbnzjcMA/Lz8XXdYEwCet7PfbLfY8s/V7/cd2u6zqQeXs9DX2L0GLl3lFcrKodkjXJUPR89VOzwKAV0zOoas+1QNUxROXjMb3NCzbJ1j9dMHyo7bhpV1iAAro90g8aOzLBSo6B3dqOwSmlwLwTCn5zRo9j5T7AhIEkFYz/OEB6/iCxyI5yZcRzd0DgxPTPCDl4dBfvr6a9rBXsfUwt37o7UPu2y+HDswKO2a4Wy+HHrUI7hqjUcUoae79TNv7r1qBLRMMOl+6wyBgv1VaG4VHAqMCuV1k0c7znk9osm4a85iRzzXvOBX0+6UWbj5p1TI8Nc6DhnHoUdPQfjofwAxPctAwcPfl4DEGF0DtCPeTY86brt7QMIpgyQCAJ5a6hOecdYwUAn455V8cML1Z20eT4G5Lz3p9///e6ZhY0V9a27bzgqdX6gO+TC4DQnLrt5/3qO+fVNRw/O3mD/aZ3xvg1g1Prjtpd9YlbpwrBzA4K9J2TThuGjrK5vvkPP79Lqu8ul4AEuBWU88b++1X6wbNCMUcOXnWPXf31dBpgYwJeGQ0b9NxHqRyFYn7JN/53Xab/GYKADGQWNb1jobDXquMfqZ4iMZbf8ouuKBdAZNMsdTCL0XjsiuFREb1wHZthzstYwphSKvofO+AU1xpI4Chadqjjn4GTwAgNL/xr4ed0sqaSAVw32n6YOe5lNqx6IrBj/YZJZa2KCzud5+OLz/pfd49jQDSy598oe2fo4T+rPtN645aFNW3A5ABqVWjnyqhf5rFb+zsp7K4Ckmj8CXmkQ/f2mu37WpMZkWXIvq9pp6NJ6zjlNAvAbQs/fVswydfQ/9PR0vu8CEBULmiyx7py/56dtnHusveObDsnX3L3tm37B2NZW/s/M0ne+81Pm2jE8sPWv3TO9ur+4YBMITiP2y+9MvV+nmVnSTQT2WsO2bxm/UXw4uaZ4US5/i7/7b6wv9surr2tOPOS6Efa7os+/Ne2+giPgmfhFv/d8WpHZeCxll8MfDOLuN/+fxs5oM22TNeXpOKnm3bINX/A3wJYReSuezfVmhbBSyIQAKVT3v3nHPUuOznHJVjE5y9Xc/DLqqEK5H2TbP/skM/9Ga9YqCl80QGtkG79WxFQEVr7/oDl3zjcwB4JJe8vf3qlvPBxgG51sGZG7QcL7inTrL4AMYY4j2nrrgGRvNJsn2Kv1vfdf1Ja7vwXPuw7EueGWvOeKzSNK1q7QdQ0Ni3+5zboSs+1zxvnLGNW67lt9Yg+skYHUBuTdcWXVdNowCHyBxt28hVB666x9wUAL0U+n5dKwOHQEJp6/eKy1y151xjzwiAovrOnToOR40CXaKydWzCt591LawfUhxqoMtkZxwSfr/NzDuzUWU5zLhb/9VZjyYKu3eaesYyfIeOs6FnqpF36jHrhLf2Wm/U8d53wcshOncKEJEQAHWDdA0Dj/3nXZ2vZ1sHp+/Vd7YKzpmRgitHyu36r07ZnrCMdI7MPWIYtErTMv5WlQSo7pveqOO5XcfFJSrbLjTjrE3UxnNBH2mYDM4wpUBAVt2ft+pfcY1+2EX1uFH91WHDQQpLwduDp0Mrjztv0/N0j8lxCM0675Cw8rjDBh3v1jHqKI2zYt/FoKxHCoBmiSTXnCJ2nDJhg+yiMk4aeW8/Y+sQmeMcmXPAwPeiZ0r/DAdASELOmv2XHj3pBjDOIQy9M7ZqO5gFpFkEZW/RsrIKzqKSJEUmM/dP3XDcwtgnzTY0a9c5twPXgh53jwNIKa35SMMi+8GcrT+9pOqznbqFNc0ACCC1rPO9rfr13eMAbpU/2XH0Ukl5ncrud/Nx///5QGPvZb8p7tyhjXt1rSt360fn3obSRnn0ssOpa25TLM730Cde07eipTd3kgBXIiuseWITmWMfW+AYm+8Ye3PuE50bmHizn0Kd4BORWXddwpJGGEwC4MtkvskFbvH5naMUAqDzBXF5d72Tbj3uGQUwwuD5Zzy45Jt5LSCtpHmwqKHPISw5t+IJk0R1a7dXbPaN0hqWSCIFgtJLnGNy24enX5/4WETkIpO+ck0XkMjJ8uYu88DEvMoGQvVOafABUNM5Yh2eoW0fd9krISb/AU0MAFSOMDT1Vm33mGJtkC+RFZfXphQ+EANDM/SE7KLqp50E4JJwa4u+v3dmlXl4lo5jdFBqyQRbCoAAaHxpSFJm0YNqEUlKgJr2YcuwzDMO8WaBScWNfQ3Ds+Gp+Z1DY2IZKQGaRxieiXlO11PvP+m/HFy69WpM2/gsABnw8Gm/TUSatkPcFZ8bqXdr2VIAoHH5GYVlxRW1CryQA5VPOqIzbk3QmYql0cq2QeuwtDP2MaaByQ+aehUoTwBcEoHp1atO2DZO8WTKyuqnsY5YxOs6xrGlxBhTFJBa5BKZ+rhnoochC89/6BqTXVjbzgFyK+rjcssUJ+Pqe0adojPPOsZecIu9nltG4UoUI5AAKK7tMAm4cdYh3tgvubCmjSeHoiDlzf3mQWlnHWPNAxNLG3uqe6lh6UVTs1wSGKQKfBPz7EJSqnqnHraPxGeXzPKEiiYUkLjb1Gfsl6LjGGcVdKOqc+x+22hE9p0RGoMplERnFj7qHFGctxLK5Lcr61Py7whAyoGuiVn3hDxd57hzznEhqcWDNKaixcvqWtyjM3rHpxWtP8EQhGff1XOJPecaF5l3b4Y/d0cWTUjG5D8w8Ig/4xDnkZDfPkpVRG/tHw3PvN0xPKWQudaBkai0/O7xKUUrPBmaDk3On6CzCaCpbywwPqO1d0iuFNAJBjM0Ob+gsoFUnjsbmKDEpBc0dverjpLl3C7Pu1vJFi08fviafjRSQr+aBYF8iWtyFds5FEQou6X6W3L+TwUJAOn8V2K17wsSWfoQ+j/09v7nFn7BUwIASBIEqba5W/GXo2w4Yn4zyeenLlL7TgAu8flb9DybJmZJgKf2XL3JVCvOMoCrTE2VSNsIzTmq+EHPnPFkFtAwjTxqc2OUJVrAnlgtfVV0qXIbjKo4asdWwVWyoQozA+i53LjoGstWLXcCBHCneXSHjoueY3Rl76wqI1URevhwu3Fv0zGThNwSvuiZbHIBkVrWyhoGAXCUOaou7VTVAOaP1ariKPoOqRaAVPIgUVYvqZYROT8FVYIyte88QLVRZ95q0PyfAmUwVTqKV2KAs1R0qPGm+C6bz5J8AXskqd6FZYtSk82XGWVS/7hd+iekhdBPqi0dkvPuaiaVn2c7CBcI1oL7vchFP9UfzvuoDzzkC+H9Hxr6FxJJqlcGqdjV8WwEnz96kmpNsBgd5iWr9lEAhFNU5obj5nW9o4ujECSpzoY6ZilGHsXwM0hn770W8sVR88D/196Xh0V1pOubuTN3kplJfvfemThzn2SSyU3UxMTEJeqoxKi4JLgroOAGCkRlk1X2RZB9l31H2fdFEEEE2UFkFdmbtZvupvd9O+f7/dGA3XSD4JIYc96nnqdPV9Wp+qq+qrfq1JpSEp7/4IxT7NdHrJMrOgSIXMFQlGemhKBzBFOUU/rAQyTBt3JPOkRsOGF3v2NUDHIQA5S3DWjaxH93IeCsS7RrbHZ4bkVUfmVAarFRQNJeo+AfLgfFF9fxUbnYnz7M/MhmNTq9ghZVeGW6vkyXcAVpleY5zJCjRJ5zFfJkOsY5qoSFXplR2Txtg6JIsw+Igk/lrQuqzFIZV8gXXqxK/wJQfmiz9FFpHZwnnBejZGVvK60bGGQxh/oB5jSbLyHDpEEUVTX7RWePEKnKhYB51DPthKIAEoBHwyT7kDRdmxvn7cIvuUSl321kisSzvp4lx8I9gqfC8iQSa89IdSPvhJJHPEVnAADA0cSJt2uv+qXo24fp2YXq24cZ2IcausUGpZY8GiSJF4hHvgVQFrYS368EM8u3fkkoSd/ikzzjE6vYvxAWuKVL+YjLPHj5CsSo/3nwCrIJBeAIRHSOYKHThp8Vr9SRh0LPOKlzaGKSOT2Cgi6dK+YHggKIUSBQGWNTzGcekCkEGCEzOofxHTh87wSZyn26nHhRjdGL5fSLKup1qA9KZHh6KMDPlI8YnhcLUP9SFLKg/pT3COfrMSypucGwAOS/vkHpv7m2ytWyqLhetTqUfoXO9bGwl8WWsCWmRvq9pTjkM1+w8wc/96Ptl+bFxcSPyko63wu/dEIwKGDxd/MuiJdL/YvvBmJYAMqpX6ZfJu8XnXZ9rmxdtNYWvD5mgaAVBnwWEaMy6p+bwJdBVEqCXVAe5SpQiHixwb5CLJn6XyQgDD8r5qf+xSkLU+lrhUVUw4U1Nq+T7GsooOhCJ0fIvDX/TMDC18jIvPFyGFAmuhcttUpT85wBPKM9W3yw8+TS4pvkpceJ1f1fNTDqf6Ow1A+nZwcoszz0OahfTizlWPgrBF5J5/cVlNrnDHLpnzLzB4RRP4YlQJ76F6nMF9E5Vlh+drzMlmAOR7zawaEXDnaB7jW61JGnZzZR84sl97tYyLe1r3O9ka79lrdbVAdk/oEvDK8eyqlfdvH+7EYSRMZ+1vucbSaKmBPC4kvx7Ma/17vc/wrwCqn/xQN5rtcXGazchfUK1K/oZ0EoX7uiEKlC73vGB0b9yl/E8AtB+YAPHwE8W9RP4RE4otmNlESu+AmF30PlM0QIACAAAgAcU9hD4dNFyk9ZQwF4KDrBEQ1M8ae4YslcxwU+5BEBCuNc0QCNP8UVz27MEQPME9UbjZdX9VF0bn1bOGylveM5Ni9ZH/MLhAKI0dmNTnPLj9L35qOgZ/b5F3afmwOzuaSk/XmJuluCSBgwLIyn1C9bdChckWtk4UfbtE29E3kooABMFK6GFn6w2/CjPabJZS3Savd4jLr3J6/PfjC83zo4J9zZ0MYZPFO/tM9VdYNvFcDc7tBCY7gULt/QLWatmp5fTIYEQIyiw2RGTmVna//4Aul5MyvAy+z1zXx9yfeIny3CPBn78juk84SIomhbL660roslXX+PIs+kfhTmpf7543l+oEr3nb3ePXYMv1nM0+tH0dD81mUrD6teCu0mSQCgdYy10zhu2QaTZeuNzEPvUAQoApB2v/MjNbvlquYdY+T5IsDRhFrO6X/85qRLVNaSJKNwBVe8E7YcuxyUmA0A/WTaESO/zafc73USnvkuBpgh64XaQnQxLeXLnGJd+gj7U7AEkituUfqucexn+12CPC8vMLmAX02ACmNL8v+wJgbD4qHsvH4AALjT1v9XlUurtfzzHuIBIKOm54OjPr/bef33253UzKLb8VQUwDH69l93We82uznM4AEAF2CMwR0g0UfpHKZ4elQBRxdpuRe8vemSY2IZQwwDZCZuikkVobPn/IkAyFzhwBSjl0jDUZhU/vS4EAdFO2jc+gkajsHjIGj2w/7FkvYEAAAZl0lEQVT/3Xv1U82AhAdjDJ5QegwcG4FhGrufzBilcXiL2er/5gIFYIvEw1QWkc0XIagsyYpQIDM5DB5fmucSACKTO8UVSlBAUBCh6BSHR2RyCHQ2RySRMj1XLJlgcBkCkbRrzZMgJBaXQGdPsXg8CSK1pAvEeAZHgKAoCmIUOEIxkc4SyiyilABwURilMPomSINEKlWAzCodAFhiBEem90yQRikMvvzcEo0vHiHR+iaIgyQqjS9CAUQI2jfJ0rQIP2gZ3U1h8kRiBl9I4UvIfMkgmU6gswQIIgGY4olwJGrPBHGIRKPyxVI5uRIJmc1jSYDMFQ4SpoaIVLoQeXrmDwoTNFbvBHGASCHzREr3AE8PeLJ4/XhyH4FMZAtEMqfXTfGE/YSpXjwZz+RKRyYlAByhmMzmsVAgMLkDePI4ncMHEACM01h9ePI4nc1H555yKBBLSHSmNM+lEAOQmRwKV8QSA5HF5QIQWLw+AnmETGcIJXNnL37DhR/Dc2DexZ2tI6St5/3fU3Xwy20GAM/UqmXrzDaY5qzRifh4r0VxR78I4IRN+DubfrKMaySJUKZQElPWu9Mw8tMj11QMbrin1owxuTBN/bff2Wau7V1qdavtcw3vrzQ9rsZU91P50tmCmt4pXY/sr7T9Pj3usfa0l0lgQQeeggBM8cUOCdUHzaOS7j5sxtM2GkS+rery7g9enxxy97x1TwxA4vKCcho3nw/69Jj7d/o3Ios6yXyxYul/M6uEslRVdQ6uPeFi5Js1MsWVtWdKwCE42Tcuh8ITogBEjkTXMd48pIjCFwHAOItj4Z/qFFN+wSEqs/yRlLzudwzvvhgYc7tJGsL91l4z7xSroDxjj1tN/aMAgAAE5dTvNwluHZ5CAbgImlJcZ+oWRhY+VQFdKEoo6z5kGrrLwG/P5WCr8NJuwvQBkZMsjk9KxUGzCNWf/I+ZhyXe7aIIESnDdk/SbMNuHzULVZW+FZyHo7JIAolfav2KAzb/Oux62Tu7Z5KSUFJvEVFlEVW3TdfD3OfWKIPbSaKbBxccNL2xU99n7+UbNmHFODoHBXiMJ5l4JYUUdFpH3lMzCt52zt0uumyYwUUAeGIkq6b7hHXUjvPee41CjfzyWoYIYmTubJIQ4P4TvI5Lsqq+z/bznrruGTV9VOkds004qol/jupPPnsuBZ12TCpq6hFIxChAxcM+Q8/UGyU9hv4Fu/S81a/G5LRO3ekm6LunbtP1PGAcVNDQL5CfdRkn08yvRwel3+ch0xoeJDINnUJTq3oaxuG8S2JC5ZMrIYV7LvrvMfBziy8jcIUzjcebWcYxvFLMS/14Ft/Au2DZ10bGYcU0Meh45P9uvZlTwaBeQMFbn5+IuNfeK4TvDQLeWX8uuRFPAwjNqf3nXotPjrqpWcZv1PX72w5TI99MgQTFMcTa10ve2Wb+jx+d/60fpmYW9dkx9z9svGjqn0sSCIdYYjWjkPe2m+62TT/rV7rpfND/7Ta29E3moSiZL9Z0Slu+08Qt/nbT2NQGveA/qbq8u9fz4/2OXjdLmEKJU3zx/2zVX611fb9l/Dfanu9/d9ErtZ6h0G97M6uFslTdaXr87kbdYxbhgwTGrKW0e2sTlPTjBcf20UkUoOQhbsUh+xVHHAYobBSgoo/4by2H2Lt9JyxC9Z0j+AAiFAKzmpet0jp/PY0vQVEAl5jcI8aBUcWPt512iSiulwDwUfjxSuift1yOKmrlAhCFAl2bIGPXCIbkKW+WND75St3VJKI6t43ul9e6QeOqU1CyCEG5ItQiIGWLlqNXZlNhB+NaUuUGDduw/EcCBKXxBGct/XfruocVtRd2MK5ltKw5Ym3hF88CuNNO3WEQuPWn8KzGCZoYdYkv/quq7U6jSCOfjNj82h4iQ93Y84eLvmGFbYXtdOe0h18dsXGLyucDtIxNrjtqsVnbxTysOLV2zORG6Qd7zN1jCwGgomN0i46XrmdWQRsj6u7A9jNOJs7hRDpLNpsRgNbhya1ajofNY1JqRmPu9uy44KGm5zLO4HXhGfuNg3fqecaX92U1E885J204ciWvtlMMkF3ZvkHDca225/XUhriKwV2GYas1XI6YhQblNoeX9uy44LXXwHOULdfGiAHM/VJ36vt3TkwLEJ1zX0XDrKIXVz0Ba445bjzp4JJwL7lq2Dgwf+UB64D0GvFTJSNv5iwXhleGealfBBCY07Lsy4sa1+8UdDC3Xgj+SD2gZIjlnX7nz+vPGkY1xTWL1p72+1jVsGGCNCiETVpOy3eYxlaNCwAekiQr1D1XH3et7Z0cZCOnPEreWqe3yyjq4SgLAKLLn/yvmtO/9pmVtvfe7WOtOub6z4NOkTWPO4j00sf0G9nV+VWPhChK5Ik0XLKW77KwjyzkABQ8Hv/wR/tVWsHpjSQJQGnnxJdavh//aJPZMgIAxR2kLzQ8Vxxzaxudd9bhjcfQJCUopSz/QSeVI5zuDM7wQUF15zYNy7ymxyIAt/iSrT9FfrjPurwdz0TgemrzbgOvUbbY72a5yjlnnBCGaGyTwKJ/qDmqmUV2TdBIEjhmE2Phl0LkgYZliL5vEUGEdhN5W3R8V2l6mQbkEoSSdgp32wmLtNJm2fsY4gobPznolNRAIAkkQoDK9v680hquSFzSTvj6xLWQgk4eAB+ABXAltFRFx2uEyqYweY4BsQ86RwBADNA1xdOwjjpg7MUCmOQjF5zitZySpMeHOsWWvPudRfLMDYI9o5N2PpGPhikAIALoovEOmARrWwXTAR6OE9eoGes6RTIBEIB+FnrYOumUdagIIKm87QuN6wH5dWSOUAJQ29mXWVxJYbJkc5UpRlwj8/59wraFIJIe6ln+qP+SvW9T/7h/RtVXx1xKOycAAAGYYIoPGflr2KfiuEh+beeXB8xdU5oYAFwA3/yuT/ZbBWdW8wBEAImlHWvVHSue0KVamkVGdfc3mu4p5S0AwEZA+2qQvmPEKItbOYyuPe5o7pdGFUsAYJjJ3XEx5JR9rBBgEYuVMGBQgnkObUYBAPIf9v3nNisVi7zLEU1/22mmZpvRw4Hc+s6Vh223mWWcDev4+IjHAePgHhr79hP+v/bbL1e1dM9uSbjXGpDb9M3ZoPe3G4Vm3RvggZZHye/WXTAPz5dG0UmW7LNMfWv1ybh7Tf1MOGIe+fa6c+9tubTtQpB1bHV22+gAS4QA4DlCdZfs91Ut7SKLRAD3e0c/+cHiK23/kg4SAETdfvjH72zWnLlxLbkuoaItOL99labnsi9O3XnUL5uanyEHXx/MXvoxsx8CmT3Xd4LG33fexTW1YQIBDatgu+RH3+v7+yffw7F5GnY3TQMLhABVncPrta/ldzGr+oa07RP0A8vUjG/k1LZVj7JV9EMTSmoBwDG6QNUo+tEkI+3eo6OW0ZdCyg+YBLVRWbE1xK3aDgMkuSnYlsHx7ToeG9RtDT1TEu4+asaRpMM9vhl1/zzkqu+dF5JeFXiz2De58rjNrb9/Z9DUNwEANIAG3GR+bWtoZrV1SOGmE3YHTIMoAGSeWN8xUtshjgYAAI5RRatP+j3omZxNOwWFugF8bk1rSEa1+Y07m7VcNM0DqQCNo4QtmlaeCbelK4PIEtDzLtAwC6KK0I4xuvrVyLVHzPWcYqKLm+r6Jxio3BUoAEDg8E5ZBmhaBdDkb6chCZDzLolHryZMytwJYBNesFE3rGGMXlT/eM2BKzkPcSiAECC1gfiNun1Z6/T9AUUNfWuOORa1zu2m4OiImkmwuU8KT4I+GOJs1L6WVNwgBKjoF67XcEwseSi9ZmeSLdB0TFO/GiUADBieEwsd31Y/SP5aN/wf6iErz8QsW2dgFV3OA+ghMXdeDv+v/T6fnE9+b7eTfVQZUSi5VYf/6IDTezuvrtUN36gTuFkncIdx3EHzmJt36gc4qNb14v/coO8QUwQACMAAC446Zi1bqX7jdj0A1DzBGXinrNMJ/puax7Jvzf643fasV+EkVzTJE6u75CzfbWUfUSQCuN8z8skP5l+e8rvdRgSAgOzqZZutlh/wWnsmZKNO0Ba9wB0mcbsuh5a1jsrw/Ru4YWSR41fo09/pTDDyTNJ0LcjpE+zQ88xtGbYNz9dxiK7on9p8xj29fhQF6CfSD1jEOqQ0Jj1oP2TsX9ZDOWkV7pFcElretcs4tn5wCgAKWyY2nvPPbcNZh6RbB+flt05uPeuc3jmpH1xx1jmJIRaDvHhdeLZlwK29l3xWHnP76qRvSE49WyB0u1W5XO3ajou+J8w8Nc091M29TtoGXXSP7BwmUfmIT2arin6wio7XEXO/i16p3+l47zcNngIgccV6DpHaDnHSXr9DRN4WvbAm3PR9hGS2wP1mjYpe6DYdr6NWARd907ed89SwDKEANI4QtmvZBGfck/LmlAQMfAvUr/gTWGIA6CPTXaOyDxj7rzrm+vlxV9f4SiKXNztTjQJMsDgnrvied46kzVxKJc3QSY5Ey/LGaedEhkyS3ZLufXMqsHKAeLu++5v9RvefDAIAHyCtfnK9ul3143Fps1HU0LvmmGNhG1l24Y402OsJ+ft0XNonp65n1qroBbcOEwHgXi9/g6ZjVmWntOWYZAtOOmdoWEfN3pSHAcNSsRD14xhCbY87y7bY/Mf31/6mahtb0gAAAoBz17OX/dvuLVXfP3xnk17dJwQo72V+9KPNX/e53OyGVibUkiG8hpvSxO4hC/qZEi2PO8u+1jvjkSW9grp2XLj5Yvzba8+mVDbjWcL6IXLZELsYJw4tHzp3496f9rn/vx2WFR14PF+i4Zr3/m4ru2nqH/3kR6svTgXf6WECQPSd1rdV7NboJtxs43eyoWwcYhsE8bW0Ybr4DeR7GaDzzOyhAFwJTHJRqgBEcxe7owAQf7fre8Poi6F1R20S2ifIObVPNp1yuxLTvEPfu48pBACqALGNrdphFGkcWa3jFMUFsA7OPmCdcNw5U9czkyYEBADPgd2GQeZxNd8beCfeeUgSwz4j/5/CGr7VCQ4v7uHJSCRE0J4xYuv4lBBgTAR5LaRDtgnrjlhXPxkMv9u16mTQnT4yAAgARABPeFA7SqWKJcWNgyvVLCxiq5vwYhbAGICGY/pew0AiAIkn1nOIOuWcJJ3HcIjM26of3jxMlSYyubjxCzUz+8TKRwSUBUAA+OFKxEGTwCmAxhH8dq2rwWnl01fPS8DAt0DDzJ/MRwaIlCbcFAeAhEBhB03HK+ef3+vdftgne4MgiSc0cIo+YOw7NcPOBBY/q6Ktrodg4pe92yh8mD/tEwBMArI36oY04ZmFdY/X7jeq7B4AAJ6U+jVsa7rGpN5mqH9KVoVSp/ruiV1nXX0KGg/bxJneKKEJEBSgoo+3XtMh637HLPWfcE5TvxqJ9foxPDcWon4uCm7pjcs2mryl4rD5fMiD7um9VNdTqt/b4/7Wdrd/7HdvHJoEgFEOulPP5y8qpsYxjdUDhKTqjvXngk7YJfcR+TiW5LRnye83GX183Mc1vbGqbdAo7M4ftlpsPuvdMkq8+4SyQz9og7ZHfFVHJ5GR2T72/gHX/95lXdtLJPAlmq7Zy3db2kcWigGqe0dXHbL94JDH1diKJzhCzRBlk27YX7aaOtyqqBuY9Mtt2a4fesopbWiKtUCKfqVQtk8IUTxArQ03qeeWGpRRN8mYywkoQBdZoKLvt+KIk0V4BYEnwtEEq9VdPlX3NPTNpEsk0qGMvGbcx3stNl0I9U6pAIDEsocfqjn930HnyKIamOnzWoRkrNHyXXncpXEQjwAYBRR8rum16pDdI7xAAkBlcxsf949NMQQSNCLj/i7963XDFKkMPllV6w+blbY8bppgrdd2u+SdPM4UogA4Bv+0c/JB89h+Oicqr3rFjxZ57RQA4AGkPOj8aI/JPuPQCQToIuTStfgfTcP6mBIAcIjM26Yf2oyjAgAC4BqeuXLv5btPCADABEio7vhgt/G+i55UgKZR/HYt65C0MilvUiTwk2+exhU/FkBCaeMOPb/8hulBwuQHPZ//cCmjtkcEMDJJftjdRxOIeRIkJr9u1QGz9AacNJdu5FR+s/9yfm133L3uzw4538hvljYVNb0TGzVtDPxy8Xw070H7uv2GUuoXAKTX4zdo2NR2jUn1WFjfu+aYw+02MgpAojHqOvoINKbUiScBPbekL7UD1mt7FTT1SrP9fh93g4Z9VkW7NAkEtuCkc6rG1YjZG4MxYFgqnnFef3ply9vrdJZ9cuKEbRyJPf19efvh2GeHnJat0Np1MXSAxAAAIUBe3WMVnevvfqv79VHbD7Yb/F1F38I/k8lHh+l8DZv4P2/U2XjO51ttt49VL72z7vQ/91nGl3byAYYoPEPPlOVbdD7cYbjt9LV/7Tb8cM8V48BChggh8YTHLCPf23DqakAyAtBHoh83C33r67O//+KooXscBeDW/d41h63+e/OF1Ucd/r5V9+Pv9bwSS6hsxerwq1/jo4z6FS5nBMi/37jsLxu2aVr1Ksx1IwBCgNO2IW99ui+yqE0IwAVU1cD3T9+eTavomr0lvGuCtO6w6Yp9pnfb8QBQ3T3+2X6rr49YNvSMwcxcQs6Dzg+/N9h+3lvaysaXdv/PxrMHL3lSxCIAqG3t3XbYIC73PgA09eFVz7v8oHf9enS2bVj2Hn0Pu+CUCRpLCBBVULdV3fKUdahLVI62ReDGYxahuTVMEdIygN9xzvV7neuuUTl2QVkGrokq2g7fHrfpwDPFAIHJZR/vvHjmaljPOMEpPHODplPzwKRUsIpH/Sonbfb+5O8ak3M1KOPk1SiVM06bjhrjBfBwaOxbtQv+CbnSNNLEoOccf/C8HU0g7homHjML2H3OyTk80ykqR83A7aJL9DCFhgAEx6btOnq+c4QCAAS2UM818TttF/vgLCv/1O2nXeyCMtliGKHzTPyzVLTszX1vOYZn79FxOXzZs2FoEgXIKK1bqaJR2fEEAEQAaVX9q3frVLcOSNVRUNWxQlX/dvMoABSU16zfp5tdVj+rrMTSlnc3nTto6DdEZgKABKCye2r1Pv300obpsSYW77hF6KHLHqIXLloYfrOYl/qlY5p9BLLPzdtmATeL6rtm7fFMYXjOfeugm9mV7UyBeNa+qnPYNa5Q3yPZ2C8tvrhukisBACpPlFLW6Bmfe69zNLu229An2dQvNetBx+wFehN0XnxRnal/uu61FBP/1NiiGgIHBQCWUJR6t8EtMqO0oU0MwAeo7MCZBmVd8ryVXtbARkEEUP5owC4iS+96inFAWkpZI0s8346cN3sQCAAABegewVv6xcXkVZCZ3DlNhXRy8l5zp0dESg+eigIIUMh50OadkDdBezq0TeMJ0+88iMgsnWSLUYBJtiA6vyqpsJLGE6Ez1E+gc0LTijPutzCFEgRggMzxT8wrrW/noigC0Dc26RZxq7KtR7pZr6FvwvZGyhn7qAvOUaGZZRNMnlQYPkBhbYepX+Ip+2gj74TcqkfSFlsMUNLccyUg9bRDtGVQ4t2W3uZBUsDNgl4CDQXonaC4xeZZ+8W1D41UtPaEZ5WNU5nSBS5igMK6LiOfW6fsY6yCbt191FfbPRKakk/gwRiNEZmSV9fWLW1BOQjkVbakFpSxBSIA6BghukRlnrKPOu8a7X0zf4TKAwAhQFlts09k4iiFIy09Y3RRQPLtC86R5x2jo7LvEVjT3SACmx+ZU37hWvRph+hrMTnd4zSp/87B0aD4tEEiWbpZoX2YFHIze4QwJZWhZ4QQmJTbg6ciAC09A443EhufDM1qAUdhB6YWl9R38JHpajhIZofcyu8cHEUBUBQYQlHK3fpbxVVzLp3HgGHxWIj65/CodBEyIm+PKDywAXgzNoqkKwAQzrjKdmaFAPQZJ1ThRdHMXwHALEfMemDNWMI8p7/82nv9ilD2HfDU5unzzJOUgGbtJMoaQ9kQ5uhu1gmZ38+chTGzTigAC0AwG87TFWQgAWDMKB1kZlDFAEz5BM4pDxKZV6TUL3UVKrwolEk4Il+qURkn5kyhBfkSLpE/rZYHwJHPE6m9AIAlk0US+aAQpaqRnYKf+QvyEiIKdUGagbIeMGB4PixE/dMPKCAwfX02KlPh556eNeNTCkSmKM/6nDWIQgWQXVMxp56g8q4AgMyMd8jyy5vG7gtCaXpRxb09Cv5kF4HPF8h8+T/HEqaLBIoCOpee5EWafZi9hF1R6YoCKJYWWXnQuWNeTxM+p7DNV6hgrpM0SCXeZKRCAVC50os+FU8xE+bL6iW5AijZryUnKwYMS4cc9SucxSvTQ4M5j8rwWyPg1xMLU8JLJAzZFuDnh2K0z520JSTkl0qsQqRYXcPwYlhgmhfBChcGDBgwvJGYpn5lfQiM9zFgwIDhzcQC1I8BAwYMGN5MTFM/NriDAQMGDL8dTFM/i4cOjZL7hsn9w5S+YUrfMGVgmCJ97pd5ljX9yiwX8PNM/0vy3Ld0z69Ukv6le36lkvS9ZpJgqsdUj6n+NVG9HPXj8LyEtHuRNysik6sjkqsjkqsjk6tln6Nk/ip6mM/MCWRh/0vyHLF0z69UksjXTJKI10wSTPWY6jHVvyaql6P+3hF+UHSxV2iJZ/hdr4iyaRM+/eAdUeYTUeY9a48ZzGAGM5j5dRo56h8c50YllQbH3Q1OKL8RP21C4spmnzGDGcxgBjNvgJGjfgYf6R/nPBkTPBkT9YxiBjOYwQxm3kwjR/0YMGDAgOG3A4z6MWDAgOE3h/8PY50d40UPvzwAAAAASUVORK5CYII=">
          <a:extLst>
            <a:ext uri="{FF2B5EF4-FFF2-40B4-BE49-F238E27FC236}">
              <a16:creationId xmlns:a16="http://schemas.microsoft.com/office/drawing/2014/main" id="{64EEF1D9-7C53-49A0-BE8A-9F7B220F4B34}"/>
            </a:ext>
          </a:extLst>
        </xdr:cNvPr>
        <xdr:cNvSpPr>
          <a:spLocks noChangeAspect="1" noChangeArrowheads="1"/>
        </xdr:cNvSpPr>
      </xdr:nvSpPr>
      <xdr:spPr bwMode="auto">
        <a:xfrm>
          <a:off x="0" y="9304020"/>
          <a:ext cx="36576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0</xdr:colOff>
      <xdr:row>47</xdr:row>
      <xdr:rowOff>53340</xdr:rowOff>
    </xdr:to>
    <xdr:sp macro="" textlink="">
      <xdr:nvSpPr>
        <xdr:cNvPr id="6" name="AutoShape 8" descr="mailbox://D:/EMAIL%20-%20SEATRANS/agency.seatrans/Drafts?number=217096&amp;part=1.2">
          <a:extLst>
            <a:ext uri="{FF2B5EF4-FFF2-40B4-BE49-F238E27FC236}">
              <a16:creationId xmlns:a16="http://schemas.microsoft.com/office/drawing/2014/main" id="{E235A2B0-ED31-4CC4-863E-95CB699A185E}"/>
            </a:ext>
          </a:extLst>
        </xdr:cNvPr>
        <xdr:cNvSpPr>
          <a:spLocks noChangeAspect="1" noChangeArrowheads="1"/>
        </xdr:cNvSpPr>
      </xdr:nvSpPr>
      <xdr:spPr bwMode="auto">
        <a:xfrm>
          <a:off x="0" y="8930640"/>
          <a:ext cx="365760" cy="53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14611</xdr:colOff>
      <xdr:row>0</xdr:row>
      <xdr:rowOff>1287780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C5FFDC-50AE-1BF1-A5CD-2212F3A71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20211" cy="1287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seatrans.com.vn/" TargetMode="External"/><Relationship Id="rId1" Type="http://schemas.openxmlformats.org/officeDocument/2006/relationships/hyperlink" Target="mailto:ship.agency@seatrans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54E0-D30A-4CF1-9C2C-FA52E5B36AB0}">
  <dimension ref="A1:N54"/>
  <sheetViews>
    <sheetView tabSelected="1" workbookViewId="0">
      <selection activeCell="I3" sqref="I2:J3"/>
    </sheetView>
  </sheetViews>
  <sheetFormatPr defaultRowHeight="14.4"/>
  <cols>
    <col min="1" max="1" width="5.33203125" customWidth="1"/>
    <col min="2" max="2" width="11.109375" customWidth="1"/>
    <col min="3" max="3" width="9" customWidth="1"/>
    <col min="4" max="4" width="13.6640625" customWidth="1"/>
    <col min="5" max="5" width="12.6640625" customWidth="1"/>
    <col min="6" max="6" width="7.6640625" customWidth="1"/>
    <col min="7" max="7" width="4" customWidth="1"/>
    <col min="8" max="8" width="5" customWidth="1"/>
    <col min="9" max="9" width="16" customWidth="1"/>
    <col min="10" max="10" width="13.33203125" customWidth="1"/>
    <col min="11" max="11" width="16.88671875" customWidth="1"/>
    <col min="257" max="257" width="5.33203125" customWidth="1"/>
    <col min="258" max="258" width="11.109375" customWidth="1"/>
    <col min="259" max="259" width="9" customWidth="1"/>
    <col min="260" max="260" width="13.6640625" customWidth="1"/>
    <col min="261" max="261" width="12.6640625" customWidth="1"/>
    <col min="262" max="262" width="7.6640625" customWidth="1"/>
    <col min="263" max="263" width="4" customWidth="1"/>
    <col min="264" max="264" width="5" customWidth="1"/>
    <col min="265" max="265" width="16" customWidth="1"/>
    <col min="266" max="266" width="13.33203125" customWidth="1"/>
    <col min="267" max="267" width="16.88671875" customWidth="1"/>
    <col min="513" max="513" width="5.33203125" customWidth="1"/>
    <col min="514" max="514" width="11.109375" customWidth="1"/>
    <col min="515" max="515" width="9" customWidth="1"/>
    <col min="516" max="516" width="13.6640625" customWidth="1"/>
    <col min="517" max="517" width="12.6640625" customWidth="1"/>
    <col min="518" max="518" width="7.6640625" customWidth="1"/>
    <col min="519" max="519" width="4" customWidth="1"/>
    <col min="520" max="520" width="5" customWidth="1"/>
    <col min="521" max="521" width="16" customWidth="1"/>
    <col min="522" max="522" width="13.33203125" customWidth="1"/>
    <col min="523" max="523" width="16.88671875" customWidth="1"/>
    <col min="769" max="769" width="5.33203125" customWidth="1"/>
    <col min="770" max="770" width="11.109375" customWidth="1"/>
    <col min="771" max="771" width="9" customWidth="1"/>
    <col min="772" max="772" width="13.6640625" customWidth="1"/>
    <col min="773" max="773" width="12.6640625" customWidth="1"/>
    <col min="774" max="774" width="7.6640625" customWidth="1"/>
    <col min="775" max="775" width="4" customWidth="1"/>
    <col min="776" max="776" width="5" customWidth="1"/>
    <col min="777" max="777" width="16" customWidth="1"/>
    <col min="778" max="778" width="13.33203125" customWidth="1"/>
    <col min="779" max="779" width="16.88671875" customWidth="1"/>
    <col min="1025" max="1025" width="5.33203125" customWidth="1"/>
    <col min="1026" max="1026" width="11.109375" customWidth="1"/>
    <col min="1027" max="1027" width="9" customWidth="1"/>
    <col min="1028" max="1028" width="13.6640625" customWidth="1"/>
    <col min="1029" max="1029" width="12.6640625" customWidth="1"/>
    <col min="1030" max="1030" width="7.6640625" customWidth="1"/>
    <col min="1031" max="1031" width="4" customWidth="1"/>
    <col min="1032" max="1032" width="5" customWidth="1"/>
    <col min="1033" max="1033" width="16" customWidth="1"/>
    <col min="1034" max="1034" width="13.33203125" customWidth="1"/>
    <col min="1035" max="1035" width="16.88671875" customWidth="1"/>
    <col min="1281" max="1281" width="5.33203125" customWidth="1"/>
    <col min="1282" max="1282" width="11.109375" customWidth="1"/>
    <col min="1283" max="1283" width="9" customWidth="1"/>
    <col min="1284" max="1284" width="13.6640625" customWidth="1"/>
    <col min="1285" max="1285" width="12.6640625" customWidth="1"/>
    <col min="1286" max="1286" width="7.6640625" customWidth="1"/>
    <col min="1287" max="1287" width="4" customWidth="1"/>
    <col min="1288" max="1288" width="5" customWidth="1"/>
    <col min="1289" max="1289" width="16" customWidth="1"/>
    <col min="1290" max="1290" width="13.33203125" customWidth="1"/>
    <col min="1291" max="1291" width="16.88671875" customWidth="1"/>
    <col min="1537" max="1537" width="5.33203125" customWidth="1"/>
    <col min="1538" max="1538" width="11.109375" customWidth="1"/>
    <col min="1539" max="1539" width="9" customWidth="1"/>
    <col min="1540" max="1540" width="13.6640625" customWidth="1"/>
    <col min="1541" max="1541" width="12.6640625" customWidth="1"/>
    <col min="1542" max="1542" width="7.6640625" customWidth="1"/>
    <col min="1543" max="1543" width="4" customWidth="1"/>
    <col min="1544" max="1544" width="5" customWidth="1"/>
    <col min="1545" max="1545" width="16" customWidth="1"/>
    <col min="1546" max="1546" width="13.33203125" customWidth="1"/>
    <col min="1547" max="1547" width="16.88671875" customWidth="1"/>
    <col min="1793" max="1793" width="5.33203125" customWidth="1"/>
    <col min="1794" max="1794" width="11.109375" customWidth="1"/>
    <col min="1795" max="1795" width="9" customWidth="1"/>
    <col min="1796" max="1796" width="13.6640625" customWidth="1"/>
    <col min="1797" max="1797" width="12.6640625" customWidth="1"/>
    <col min="1798" max="1798" width="7.6640625" customWidth="1"/>
    <col min="1799" max="1799" width="4" customWidth="1"/>
    <col min="1800" max="1800" width="5" customWidth="1"/>
    <col min="1801" max="1801" width="16" customWidth="1"/>
    <col min="1802" max="1802" width="13.33203125" customWidth="1"/>
    <col min="1803" max="1803" width="16.88671875" customWidth="1"/>
    <col min="2049" max="2049" width="5.33203125" customWidth="1"/>
    <col min="2050" max="2050" width="11.109375" customWidth="1"/>
    <col min="2051" max="2051" width="9" customWidth="1"/>
    <col min="2052" max="2052" width="13.6640625" customWidth="1"/>
    <col min="2053" max="2053" width="12.6640625" customWidth="1"/>
    <col min="2054" max="2054" width="7.6640625" customWidth="1"/>
    <col min="2055" max="2055" width="4" customWidth="1"/>
    <col min="2056" max="2056" width="5" customWidth="1"/>
    <col min="2057" max="2057" width="16" customWidth="1"/>
    <col min="2058" max="2058" width="13.33203125" customWidth="1"/>
    <col min="2059" max="2059" width="16.88671875" customWidth="1"/>
    <col min="2305" max="2305" width="5.33203125" customWidth="1"/>
    <col min="2306" max="2306" width="11.109375" customWidth="1"/>
    <col min="2307" max="2307" width="9" customWidth="1"/>
    <col min="2308" max="2308" width="13.6640625" customWidth="1"/>
    <col min="2309" max="2309" width="12.6640625" customWidth="1"/>
    <col min="2310" max="2310" width="7.6640625" customWidth="1"/>
    <col min="2311" max="2311" width="4" customWidth="1"/>
    <col min="2312" max="2312" width="5" customWidth="1"/>
    <col min="2313" max="2313" width="16" customWidth="1"/>
    <col min="2314" max="2314" width="13.33203125" customWidth="1"/>
    <col min="2315" max="2315" width="16.88671875" customWidth="1"/>
    <col min="2561" max="2561" width="5.33203125" customWidth="1"/>
    <col min="2562" max="2562" width="11.109375" customWidth="1"/>
    <col min="2563" max="2563" width="9" customWidth="1"/>
    <col min="2564" max="2564" width="13.6640625" customWidth="1"/>
    <col min="2565" max="2565" width="12.6640625" customWidth="1"/>
    <col min="2566" max="2566" width="7.6640625" customWidth="1"/>
    <col min="2567" max="2567" width="4" customWidth="1"/>
    <col min="2568" max="2568" width="5" customWidth="1"/>
    <col min="2569" max="2569" width="16" customWidth="1"/>
    <col min="2570" max="2570" width="13.33203125" customWidth="1"/>
    <col min="2571" max="2571" width="16.88671875" customWidth="1"/>
    <col min="2817" max="2817" width="5.33203125" customWidth="1"/>
    <col min="2818" max="2818" width="11.109375" customWidth="1"/>
    <col min="2819" max="2819" width="9" customWidth="1"/>
    <col min="2820" max="2820" width="13.6640625" customWidth="1"/>
    <col min="2821" max="2821" width="12.6640625" customWidth="1"/>
    <col min="2822" max="2822" width="7.6640625" customWidth="1"/>
    <col min="2823" max="2823" width="4" customWidth="1"/>
    <col min="2824" max="2824" width="5" customWidth="1"/>
    <col min="2825" max="2825" width="16" customWidth="1"/>
    <col min="2826" max="2826" width="13.33203125" customWidth="1"/>
    <col min="2827" max="2827" width="16.88671875" customWidth="1"/>
    <col min="3073" max="3073" width="5.33203125" customWidth="1"/>
    <col min="3074" max="3074" width="11.109375" customWidth="1"/>
    <col min="3075" max="3075" width="9" customWidth="1"/>
    <col min="3076" max="3076" width="13.6640625" customWidth="1"/>
    <col min="3077" max="3077" width="12.6640625" customWidth="1"/>
    <col min="3078" max="3078" width="7.6640625" customWidth="1"/>
    <col min="3079" max="3079" width="4" customWidth="1"/>
    <col min="3080" max="3080" width="5" customWidth="1"/>
    <col min="3081" max="3081" width="16" customWidth="1"/>
    <col min="3082" max="3082" width="13.33203125" customWidth="1"/>
    <col min="3083" max="3083" width="16.88671875" customWidth="1"/>
    <col min="3329" max="3329" width="5.33203125" customWidth="1"/>
    <col min="3330" max="3330" width="11.109375" customWidth="1"/>
    <col min="3331" max="3331" width="9" customWidth="1"/>
    <col min="3332" max="3332" width="13.6640625" customWidth="1"/>
    <col min="3333" max="3333" width="12.6640625" customWidth="1"/>
    <col min="3334" max="3334" width="7.6640625" customWidth="1"/>
    <col min="3335" max="3335" width="4" customWidth="1"/>
    <col min="3336" max="3336" width="5" customWidth="1"/>
    <col min="3337" max="3337" width="16" customWidth="1"/>
    <col min="3338" max="3338" width="13.33203125" customWidth="1"/>
    <col min="3339" max="3339" width="16.88671875" customWidth="1"/>
    <col min="3585" max="3585" width="5.33203125" customWidth="1"/>
    <col min="3586" max="3586" width="11.109375" customWidth="1"/>
    <col min="3587" max="3587" width="9" customWidth="1"/>
    <col min="3588" max="3588" width="13.6640625" customWidth="1"/>
    <col min="3589" max="3589" width="12.6640625" customWidth="1"/>
    <col min="3590" max="3590" width="7.6640625" customWidth="1"/>
    <col min="3591" max="3591" width="4" customWidth="1"/>
    <col min="3592" max="3592" width="5" customWidth="1"/>
    <col min="3593" max="3593" width="16" customWidth="1"/>
    <col min="3594" max="3594" width="13.33203125" customWidth="1"/>
    <col min="3595" max="3595" width="16.88671875" customWidth="1"/>
    <col min="3841" max="3841" width="5.33203125" customWidth="1"/>
    <col min="3842" max="3842" width="11.109375" customWidth="1"/>
    <col min="3843" max="3843" width="9" customWidth="1"/>
    <col min="3844" max="3844" width="13.6640625" customWidth="1"/>
    <col min="3845" max="3845" width="12.6640625" customWidth="1"/>
    <col min="3846" max="3846" width="7.6640625" customWidth="1"/>
    <col min="3847" max="3847" width="4" customWidth="1"/>
    <col min="3848" max="3848" width="5" customWidth="1"/>
    <col min="3849" max="3849" width="16" customWidth="1"/>
    <col min="3850" max="3850" width="13.33203125" customWidth="1"/>
    <col min="3851" max="3851" width="16.88671875" customWidth="1"/>
    <col min="4097" max="4097" width="5.33203125" customWidth="1"/>
    <col min="4098" max="4098" width="11.109375" customWidth="1"/>
    <col min="4099" max="4099" width="9" customWidth="1"/>
    <col min="4100" max="4100" width="13.6640625" customWidth="1"/>
    <col min="4101" max="4101" width="12.6640625" customWidth="1"/>
    <col min="4102" max="4102" width="7.6640625" customWidth="1"/>
    <col min="4103" max="4103" width="4" customWidth="1"/>
    <col min="4104" max="4104" width="5" customWidth="1"/>
    <col min="4105" max="4105" width="16" customWidth="1"/>
    <col min="4106" max="4106" width="13.33203125" customWidth="1"/>
    <col min="4107" max="4107" width="16.88671875" customWidth="1"/>
    <col min="4353" max="4353" width="5.33203125" customWidth="1"/>
    <col min="4354" max="4354" width="11.109375" customWidth="1"/>
    <col min="4355" max="4355" width="9" customWidth="1"/>
    <col min="4356" max="4356" width="13.6640625" customWidth="1"/>
    <col min="4357" max="4357" width="12.6640625" customWidth="1"/>
    <col min="4358" max="4358" width="7.6640625" customWidth="1"/>
    <col min="4359" max="4359" width="4" customWidth="1"/>
    <col min="4360" max="4360" width="5" customWidth="1"/>
    <col min="4361" max="4361" width="16" customWidth="1"/>
    <col min="4362" max="4362" width="13.33203125" customWidth="1"/>
    <col min="4363" max="4363" width="16.88671875" customWidth="1"/>
    <col min="4609" max="4609" width="5.33203125" customWidth="1"/>
    <col min="4610" max="4610" width="11.109375" customWidth="1"/>
    <col min="4611" max="4611" width="9" customWidth="1"/>
    <col min="4612" max="4612" width="13.6640625" customWidth="1"/>
    <col min="4613" max="4613" width="12.6640625" customWidth="1"/>
    <col min="4614" max="4614" width="7.6640625" customWidth="1"/>
    <col min="4615" max="4615" width="4" customWidth="1"/>
    <col min="4616" max="4616" width="5" customWidth="1"/>
    <col min="4617" max="4617" width="16" customWidth="1"/>
    <col min="4618" max="4618" width="13.33203125" customWidth="1"/>
    <col min="4619" max="4619" width="16.88671875" customWidth="1"/>
    <col min="4865" max="4865" width="5.33203125" customWidth="1"/>
    <col min="4866" max="4866" width="11.109375" customWidth="1"/>
    <col min="4867" max="4867" width="9" customWidth="1"/>
    <col min="4868" max="4868" width="13.6640625" customWidth="1"/>
    <col min="4869" max="4869" width="12.6640625" customWidth="1"/>
    <col min="4870" max="4870" width="7.6640625" customWidth="1"/>
    <col min="4871" max="4871" width="4" customWidth="1"/>
    <col min="4872" max="4872" width="5" customWidth="1"/>
    <col min="4873" max="4873" width="16" customWidth="1"/>
    <col min="4874" max="4874" width="13.33203125" customWidth="1"/>
    <col min="4875" max="4875" width="16.88671875" customWidth="1"/>
    <col min="5121" max="5121" width="5.33203125" customWidth="1"/>
    <col min="5122" max="5122" width="11.109375" customWidth="1"/>
    <col min="5123" max="5123" width="9" customWidth="1"/>
    <col min="5124" max="5124" width="13.6640625" customWidth="1"/>
    <col min="5125" max="5125" width="12.6640625" customWidth="1"/>
    <col min="5126" max="5126" width="7.6640625" customWidth="1"/>
    <col min="5127" max="5127" width="4" customWidth="1"/>
    <col min="5128" max="5128" width="5" customWidth="1"/>
    <col min="5129" max="5129" width="16" customWidth="1"/>
    <col min="5130" max="5130" width="13.33203125" customWidth="1"/>
    <col min="5131" max="5131" width="16.88671875" customWidth="1"/>
    <col min="5377" max="5377" width="5.33203125" customWidth="1"/>
    <col min="5378" max="5378" width="11.109375" customWidth="1"/>
    <col min="5379" max="5379" width="9" customWidth="1"/>
    <col min="5380" max="5380" width="13.6640625" customWidth="1"/>
    <col min="5381" max="5381" width="12.6640625" customWidth="1"/>
    <col min="5382" max="5382" width="7.6640625" customWidth="1"/>
    <col min="5383" max="5383" width="4" customWidth="1"/>
    <col min="5384" max="5384" width="5" customWidth="1"/>
    <col min="5385" max="5385" width="16" customWidth="1"/>
    <col min="5386" max="5386" width="13.33203125" customWidth="1"/>
    <col min="5387" max="5387" width="16.88671875" customWidth="1"/>
    <col min="5633" max="5633" width="5.33203125" customWidth="1"/>
    <col min="5634" max="5634" width="11.109375" customWidth="1"/>
    <col min="5635" max="5635" width="9" customWidth="1"/>
    <col min="5636" max="5636" width="13.6640625" customWidth="1"/>
    <col min="5637" max="5637" width="12.6640625" customWidth="1"/>
    <col min="5638" max="5638" width="7.6640625" customWidth="1"/>
    <col min="5639" max="5639" width="4" customWidth="1"/>
    <col min="5640" max="5640" width="5" customWidth="1"/>
    <col min="5641" max="5641" width="16" customWidth="1"/>
    <col min="5642" max="5642" width="13.33203125" customWidth="1"/>
    <col min="5643" max="5643" width="16.88671875" customWidth="1"/>
    <col min="5889" max="5889" width="5.33203125" customWidth="1"/>
    <col min="5890" max="5890" width="11.109375" customWidth="1"/>
    <col min="5891" max="5891" width="9" customWidth="1"/>
    <col min="5892" max="5892" width="13.6640625" customWidth="1"/>
    <col min="5893" max="5893" width="12.6640625" customWidth="1"/>
    <col min="5894" max="5894" width="7.6640625" customWidth="1"/>
    <col min="5895" max="5895" width="4" customWidth="1"/>
    <col min="5896" max="5896" width="5" customWidth="1"/>
    <col min="5897" max="5897" width="16" customWidth="1"/>
    <col min="5898" max="5898" width="13.33203125" customWidth="1"/>
    <col min="5899" max="5899" width="16.88671875" customWidth="1"/>
    <col min="6145" max="6145" width="5.33203125" customWidth="1"/>
    <col min="6146" max="6146" width="11.109375" customWidth="1"/>
    <col min="6147" max="6147" width="9" customWidth="1"/>
    <col min="6148" max="6148" width="13.6640625" customWidth="1"/>
    <col min="6149" max="6149" width="12.6640625" customWidth="1"/>
    <col min="6150" max="6150" width="7.6640625" customWidth="1"/>
    <col min="6151" max="6151" width="4" customWidth="1"/>
    <col min="6152" max="6152" width="5" customWidth="1"/>
    <col min="6153" max="6153" width="16" customWidth="1"/>
    <col min="6154" max="6154" width="13.33203125" customWidth="1"/>
    <col min="6155" max="6155" width="16.88671875" customWidth="1"/>
    <col min="6401" max="6401" width="5.33203125" customWidth="1"/>
    <col min="6402" max="6402" width="11.109375" customWidth="1"/>
    <col min="6403" max="6403" width="9" customWidth="1"/>
    <col min="6404" max="6404" width="13.6640625" customWidth="1"/>
    <col min="6405" max="6405" width="12.6640625" customWidth="1"/>
    <col min="6406" max="6406" width="7.6640625" customWidth="1"/>
    <col min="6407" max="6407" width="4" customWidth="1"/>
    <col min="6408" max="6408" width="5" customWidth="1"/>
    <col min="6409" max="6409" width="16" customWidth="1"/>
    <col min="6410" max="6410" width="13.33203125" customWidth="1"/>
    <col min="6411" max="6411" width="16.88671875" customWidth="1"/>
    <col min="6657" max="6657" width="5.33203125" customWidth="1"/>
    <col min="6658" max="6658" width="11.109375" customWidth="1"/>
    <col min="6659" max="6659" width="9" customWidth="1"/>
    <col min="6660" max="6660" width="13.6640625" customWidth="1"/>
    <col min="6661" max="6661" width="12.6640625" customWidth="1"/>
    <col min="6662" max="6662" width="7.6640625" customWidth="1"/>
    <col min="6663" max="6663" width="4" customWidth="1"/>
    <col min="6664" max="6664" width="5" customWidth="1"/>
    <col min="6665" max="6665" width="16" customWidth="1"/>
    <col min="6666" max="6666" width="13.33203125" customWidth="1"/>
    <col min="6667" max="6667" width="16.88671875" customWidth="1"/>
    <col min="6913" max="6913" width="5.33203125" customWidth="1"/>
    <col min="6914" max="6914" width="11.109375" customWidth="1"/>
    <col min="6915" max="6915" width="9" customWidth="1"/>
    <col min="6916" max="6916" width="13.6640625" customWidth="1"/>
    <col min="6917" max="6917" width="12.6640625" customWidth="1"/>
    <col min="6918" max="6918" width="7.6640625" customWidth="1"/>
    <col min="6919" max="6919" width="4" customWidth="1"/>
    <col min="6920" max="6920" width="5" customWidth="1"/>
    <col min="6921" max="6921" width="16" customWidth="1"/>
    <col min="6922" max="6922" width="13.33203125" customWidth="1"/>
    <col min="6923" max="6923" width="16.88671875" customWidth="1"/>
    <col min="7169" max="7169" width="5.33203125" customWidth="1"/>
    <col min="7170" max="7170" width="11.109375" customWidth="1"/>
    <col min="7171" max="7171" width="9" customWidth="1"/>
    <col min="7172" max="7172" width="13.6640625" customWidth="1"/>
    <col min="7173" max="7173" width="12.6640625" customWidth="1"/>
    <col min="7174" max="7174" width="7.6640625" customWidth="1"/>
    <col min="7175" max="7175" width="4" customWidth="1"/>
    <col min="7176" max="7176" width="5" customWidth="1"/>
    <col min="7177" max="7177" width="16" customWidth="1"/>
    <col min="7178" max="7178" width="13.33203125" customWidth="1"/>
    <col min="7179" max="7179" width="16.88671875" customWidth="1"/>
    <col min="7425" max="7425" width="5.33203125" customWidth="1"/>
    <col min="7426" max="7426" width="11.109375" customWidth="1"/>
    <col min="7427" max="7427" width="9" customWidth="1"/>
    <col min="7428" max="7428" width="13.6640625" customWidth="1"/>
    <col min="7429" max="7429" width="12.6640625" customWidth="1"/>
    <col min="7430" max="7430" width="7.6640625" customWidth="1"/>
    <col min="7431" max="7431" width="4" customWidth="1"/>
    <col min="7432" max="7432" width="5" customWidth="1"/>
    <col min="7433" max="7433" width="16" customWidth="1"/>
    <col min="7434" max="7434" width="13.33203125" customWidth="1"/>
    <col min="7435" max="7435" width="16.88671875" customWidth="1"/>
    <col min="7681" max="7681" width="5.33203125" customWidth="1"/>
    <col min="7682" max="7682" width="11.109375" customWidth="1"/>
    <col min="7683" max="7683" width="9" customWidth="1"/>
    <col min="7684" max="7684" width="13.6640625" customWidth="1"/>
    <col min="7685" max="7685" width="12.6640625" customWidth="1"/>
    <col min="7686" max="7686" width="7.6640625" customWidth="1"/>
    <col min="7687" max="7687" width="4" customWidth="1"/>
    <col min="7688" max="7688" width="5" customWidth="1"/>
    <col min="7689" max="7689" width="16" customWidth="1"/>
    <col min="7690" max="7690" width="13.33203125" customWidth="1"/>
    <col min="7691" max="7691" width="16.88671875" customWidth="1"/>
    <col min="7937" max="7937" width="5.33203125" customWidth="1"/>
    <col min="7938" max="7938" width="11.109375" customWidth="1"/>
    <col min="7939" max="7939" width="9" customWidth="1"/>
    <col min="7940" max="7940" width="13.6640625" customWidth="1"/>
    <col min="7941" max="7941" width="12.6640625" customWidth="1"/>
    <col min="7942" max="7942" width="7.6640625" customWidth="1"/>
    <col min="7943" max="7943" width="4" customWidth="1"/>
    <col min="7944" max="7944" width="5" customWidth="1"/>
    <col min="7945" max="7945" width="16" customWidth="1"/>
    <col min="7946" max="7946" width="13.33203125" customWidth="1"/>
    <col min="7947" max="7947" width="16.88671875" customWidth="1"/>
    <col min="8193" max="8193" width="5.33203125" customWidth="1"/>
    <col min="8194" max="8194" width="11.109375" customWidth="1"/>
    <col min="8195" max="8195" width="9" customWidth="1"/>
    <col min="8196" max="8196" width="13.6640625" customWidth="1"/>
    <col min="8197" max="8197" width="12.6640625" customWidth="1"/>
    <col min="8198" max="8198" width="7.6640625" customWidth="1"/>
    <col min="8199" max="8199" width="4" customWidth="1"/>
    <col min="8200" max="8200" width="5" customWidth="1"/>
    <col min="8201" max="8201" width="16" customWidth="1"/>
    <col min="8202" max="8202" width="13.33203125" customWidth="1"/>
    <col min="8203" max="8203" width="16.88671875" customWidth="1"/>
    <col min="8449" max="8449" width="5.33203125" customWidth="1"/>
    <col min="8450" max="8450" width="11.109375" customWidth="1"/>
    <col min="8451" max="8451" width="9" customWidth="1"/>
    <col min="8452" max="8452" width="13.6640625" customWidth="1"/>
    <col min="8453" max="8453" width="12.6640625" customWidth="1"/>
    <col min="8454" max="8454" width="7.6640625" customWidth="1"/>
    <col min="8455" max="8455" width="4" customWidth="1"/>
    <col min="8456" max="8456" width="5" customWidth="1"/>
    <col min="8457" max="8457" width="16" customWidth="1"/>
    <col min="8458" max="8458" width="13.33203125" customWidth="1"/>
    <col min="8459" max="8459" width="16.88671875" customWidth="1"/>
    <col min="8705" max="8705" width="5.33203125" customWidth="1"/>
    <col min="8706" max="8706" width="11.109375" customWidth="1"/>
    <col min="8707" max="8707" width="9" customWidth="1"/>
    <col min="8708" max="8708" width="13.6640625" customWidth="1"/>
    <col min="8709" max="8709" width="12.6640625" customWidth="1"/>
    <col min="8710" max="8710" width="7.6640625" customWidth="1"/>
    <col min="8711" max="8711" width="4" customWidth="1"/>
    <col min="8712" max="8712" width="5" customWidth="1"/>
    <col min="8713" max="8713" width="16" customWidth="1"/>
    <col min="8714" max="8714" width="13.33203125" customWidth="1"/>
    <col min="8715" max="8715" width="16.88671875" customWidth="1"/>
    <col min="8961" max="8961" width="5.33203125" customWidth="1"/>
    <col min="8962" max="8962" width="11.109375" customWidth="1"/>
    <col min="8963" max="8963" width="9" customWidth="1"/>
    <col min="8964" max="8964" width="13.6640625" customWidth="1"/>
    <col min="8965" max="8965" width="12.6640625" customWidth="1"/>
    <col min="8966" max="8966" width="7.6640625" customWidth="1"/>
    <col min="8967" max="8967" width="4" customWidth="1"/>
    <col min="8968" max="8968" width="5" customWidth="1"/>
    <col min="8969" max="8969" width="16" customWidth="1"/>
    <col min="8970" max="8970" width="13.33203125" customWidth="1"/>
    <col min="8971" max="8971" width="16.88671875" customWidth="1"/>
    <col min="9217" max="9217" width="5.33203125" customWidth="1"/>
    <col min="9218" max="9218" width="11.109375" customWidth="1"/>
    <col min="9219" max="9219" width="9" customWidth="1"/>
    <col min="9220" max="9220" width="13.6640625" customWidth="1"/>
    <col min="9221" max="9221" width="12.6640625" customWidth="1"/>
    <col min="9222" max="9222" width="7.6640625" customWidth="1"/>
    <col min="9223" max="9223" width="4" customWidth="1"/>
    <col min="9224" max="9224" width="5" customWidth="1"/>
    <col min="9225" max="9225" width="16" customWidth="1"/>
    <col min="9226" max="9226" width="13.33203125" customWidth="1"/>
    <col min="9227" max="9227" width="16.88671875" customWidth="1"/>
    <col min="9473" max="9473" width="5.33203125" customWidth="1"/>
    <col min="9474" max="9474" width="11.109375" customWidth="1"/>
    <col min="9475" max="9475" width="9" customWidth="1"/>
    <col min="9476" max="9476" width="13.6640625" customWidth="1"/>
    <col min="9477" max="9477" width="12.6640625" customWidth="1"/>
    <col min="9478" max="9478" width="7.6640625" customWidth="1"/>
    <col min="9479" max="9479" width="4" customWidth="1"/>
    <col min="9480" max="9480" width="5" customWidth="1"/>
    <col min="9481" max="9481" width="16" customWidth="1"/>
    <col min="9482" max="9482" width="13.33203125" customWidth="1"/>
    <col min="9483" max="9483" width="16.88671875" customWidth="1"/>
    <col min="9729" max="9729" width="5.33203125" customWidth="1"/>
    <col min="9730" max="9730" width="11.109375" customWidth="1"/>
    <col min="9731" max="9731" width="9" customWidth="1"/>
    <col min="9732" max="9732" width="13.6640625" customWidth="1"/>
    <col min="9733" max="9733" width="12.6640625" customWidth="1"/>
    <col min="9734" max="9734" width="7.6640625" customWidth="1"/>
    <col min="9735" max="9735" width="4" customWidth="1"/>
    <col min="9736" max="9736" width="5" customWidth="1"/>
    <col min="9737" max="9737" width="16" customWidth="1"/>
    <col min="9738" max="9738" width="13.33203125" customWidth="1"/>
    <col min="9739" max="9739" width="16.88671875" customWidth="1"/>
    <col min="9985" max="9985" width="5.33203125" customWidth="1"/>
    <col min="9986" max="9986" width="11.109375" customWidth="1"/>
    <col min="9987" max="9987" width="9" customWidth="1"/>
    <col min="9988" max="9988" width="13.6640625" customWidth="1"/>
    <col min="9989" max="9989" width="12.6640625" customWidth="1"/>
    <col min="9990" max="9990" width="7.6640625" customWidth="1"/>
    <col min="9991" max="9991" width="4" customWidth="1"/>
    <col min="9992" max="9992" width="5" customWidth="1"/>
    <col min="9993" max="9993" width="16" customWidth="1"/>
    <col min="9994" max="9994" width="13.33203125" customWidth="1"/>
    <col min="9995" max="9995" width="16.88671875" customWidth="1"/>
    <col min="10241" max="10241" width="5.33203125" customWidth="1"/>
    <col min="10242" max="10242" width="11.109375" customWidth="1"/>
    <col min="10243" max="10243" width="9" customWidth="1"/>
    <col min="10244" max="10244" width="13.6640625" customWidth="1"/>
    <col min="10245" max="10245" width="12.6640625" customWidth="1"/>
    <col min="10246" max="10246" width="7.6640625" customWidth="1"/>
    <col min="10247" max="10247" width="4" customWidth="1"/>
    <col min="10248" max="10248" width="5" customWidth="1"/>
    <col min="10249" max="10249" width="16" customWidth="1"/>
    <col min="10250" max="10250" width="13.33203125" customWidth="1"/>
    <col min="10251" max="10251" width="16.88671875" customWidth="1"/>
    <col min="10497" max="10497" width="5.33203125" customWidth="1"/>
    <col min="10498" max="10498" width="11.109375" customWidth="1"/>
    <col min="10499" max="10499" width="9" customWidth="1"/>
    <col min="10500" max="10500" width="13.6640625" customWidth="1"/>
    <col min="10501" max="10501" width="12.6640625" customWidth="1"/>
    <col min="10502" max="10502" width="7.6640625" customWidth="1"/>
    <col min="10503" max="10503" width="4" customWidth="1"/>
    <col min="10504" max="10504" width="5" customWidth="1"/>
    <col min="10505" max="10505" width="16" customWidth="1"/>
    <col min="10506" max="10506" width="13.33203125" customWidth="1"/>
    <col min="10507" max="10507" width="16.88671875" customWidth="1"/>
    <col min="10753" max="10753" width="5.33203125" customWidth="1"/>
    <col min="10754" max="10754" width="11.109375" customWidth="1"/>
    <col min="10755" max="10755" width="9" customWidth="1"/>
    <col min="10756" max="10756" width="13.6640625" customWidth="1"/>
    <col min="10757" max="10757" width="12.6640625" customWidth="1"/>
    <col min="10758" max="10758" width="7.6640625" customWidth="1"/>
    <col min="10759" max="10759" width="4" customWidth="1"/>
    <col min="10760" max="10760" width="5" customWidth="1"/>
    <col min="10761" max="10761" width="16" customWidth="1"/>
    <col min="10762" max="10762" width="13.33203125" customWidth="1"/>
    <col min="10763" max="10763" width="16.88671875" customWidth="1"/>
    <col min="11009" max="11009" width="5.33203125" customWidth="1"/>
    <col min="11010" max="11010" width="11.109375" customWidth="1"/>
    <col min="11011" max="11011" width="9" customWidth="1"/>
    <col min="11012" max="11012" width="13.6640625" customWidth="1"/>
    <col min="11013" max="11013" width="12.6640625" customWidth="1"/>
    <col min="11014" max="11014" width="7.6640625" customWidth="1"/>
    <col min="11015" max="11015" width="4" customWidth="1"/>
    <col min="11016" max="11016" width="5" customWidth="1"/>
    <col min="11017" max="11017" width="16" customWidth="1"/>
    <col min="11018" max="11018" width="13.33203125" customWidth="1"/>
    <col min="11019" max="11019" width="16.88671875" customWidth="1"/>
    <col min="11265" max="11265" width="5.33203125" customWidth="1"/>
    <col min="11266" max="11266" width="11.109375" customWidth="1"/>
    <col min="11267" max="11267" width="9" customWidth="1"/>
    <col min="11268" max="11268" width="13.6640625" customWidth="1"/>
    <col min="11269" max="11269" width="12.6640625" customWidth="1"/>
    <col min="11270" max="11270" width="7.6640625" customWidth="1"/>
    <col min="11271" max="11271" width="4" customWidth="1"/>
    <col min="11272" max="11272" width="5" customWidth="1"/>
    <col min="11273" max="11273" width="16" customWidth="1"/>
    <col min="11274" max="11274" width="13.33203125" customWidth="1"/>
    <col min="11275" max="11275" width="16.88671875" customWidth="1"/>
    <col min="11521" max="11521" width="5.33203125" customWidth="1"/>
    <col min="11522" max="11522" width="11.109375" customWidth="1"/>
    <col min="11523" max="11523" width="9" customWidth="1"/>
    <col min="11524" max="11524" width="13.6640625" customWidth="1"/>
    <col min="11525" max="11525" width="12.6640625" customWidth="1"/>
    <col min="11526" max="11526" width="7.6640625" customWidth="1"/>
    <col min="11527" max="11527" width="4" customWidth="1"/>
    <col min="11528" max="11528" width="5" customWidth="1"/>
    <col min="11529" max="11529" width="16" customWidth="1"/>
    <col min="11530" max="11530" width="13.33203125" customWidth="1"/>
    <col min="11531" max="11531" width="16.88671875" customWidth="1"/>
    <col min="11777" max="11777" width="5.33203125" customWidth="1"/>
    <col min="11778" max="11778" width="11.109375" customWidth="1"/>
    <col min="11779" max="11779" width="9" customWidth="1"/>
    <col min="11780" max="11780" width="13.6640625" customWidth="1"/>
    <col min="11781" max="11781" width="12.6640625" customWidth="1"/>
    <col min="11782" max="11782" width="7.6640625" customWidth="1"/>
    <col min="11783" max="11783" width="4" customWidth="1"/>
    <col min="11784" max="11784" width="5" customWidth="1"/>
    <col min="11785" max="11785" width="16" customWidth="1"/>
    <col min="11786" max="11786" width="13.33203125" customWidth="1"/>
    <col min="11787" max="11787" width="16.88671875" customWidth="1"/>
    <col min="12033" max="12033" width="5.33203125" customWidth="1"/>
    <col min="12034" max="12034" width="11.109375" customWidth="1"/>
    <col min="12035" max="12035" width="9" customWidth="1"/>
    <col min="12036" max="12036" width="13.6640625" customWidth="1"/>
    <col min="12037" max="12037" width="12.6640625" customWidth="1"/>
    <col min="12038" max="12038" width="7.6640625" customWidth="1"/>
    <col min="12039" max="12039" width="4" customWidth="1"/>
    <col min="12040" max="12040" width="5" customWidth="1"/>
    <col min="12041" max="12041" width="16" customWidth="1"/>
    <col min="12042" max="12042" width="13.33203125" customWidth="1"/>
    <col min="12043" max="12043" width="16.88671875" customWidth="1"/>
    <col min="12289" max="12289" width="5.33203125" customWidth="1"/>
    <col min="12290" max="12290" width="11.109375" customWidth="1"/>
    <col min="12291" max="12291" width="9" customWidth="1"/>
    <col min="12292" max="12292" width="13.6640625" customWidth="1"/>
    <col min="12293" max="12293" width="12.6640625" customWidth="1"/>
    <col min="12294" max="12294" width="7.6640625" customWidth="1"/>
    <col min="12295" max="12295" width="4" customWidth="1"/>
    <col min="12296" max="12296" width="5" customWidth="1"/>
    <col min="12297" max="12297" width="16" customWidth="1"/>
    <col min="12298" max="12298" width="13.33203125" customWidth="1"/>
    <col min="12299" max="12299" width="16.88671875" customWidth="1"/>
    <col min="12545" max="12545" width="5.33203125" customWidth="1"/>
    <col min="12546" max="12546" width="11.109375" customWidth="1"/>
    <col min="12547" max="12547" width="9" customWidth="1"/>
    <col min="12548" max="12548" width="13.6640625" customWidth="1"/>
    <col min="12549" max="12549" width="12.6640625" customWidth="1"/>
    <col min="12550" max="12550" width="7.6640625" customWidth="1"/>
    <col min="12551" max="12551" width="4" customWidth="1"/>
    <col min="12552" max="12552" width="5" customWidth="1"/>
    <col min="12553" max="12553" width="16" customWidth="1"/>
    <col min="12554" max="12554" width="13.33203125" customWidth="1"/>
    <col min="12555" max="12555" width="16.88671875" customWidth="1"/>
    <col min="12801" max="12801" width="5.33203125" customWidth="1"/>
    <col min="12802" max="12802" width="11.109375" customWidth="1"/>
    <col min="12803" max="12803" width="9" customWidth="1"/>
    <col min="12804" max="12804" width="13.6640625" customWidth="1"/>
    <col min="12805" max="12805" width="12.6640625" customWidth="1"/>
    <col min="12806" max="12806" width="7.6640625" customWidth="1"/>
    <col min="12807" max="12807" width="4" customWidth="1"/>
    <col min="12808" max="12808" width="5" customWidth="1"/>
    <col min="12809" max="12809" width="16" customWidth="1"/>
    <col min="12810" max="12810" width="13.33203125" customWidth="1"/>
    <col min="12811" max="12811" width="16.88671875" customWidth="1"/>
    <col min="13057" max="13057" width="5.33203125" customWidth="1"/>
    <col min="13058" max="13058" width="11.109375" customWidth="1"/>
    <col min="13059" max="13059" width="9" customWidth="1"/>
    <col min="13060" max="13060" width="13.6640625" customWidth="1"/>
    <col min="13061" max="13061" width="12.6640625" customWidth="1"/>
    <col min="13062" max="13062" width="7.6640625" customWidth="1"/>
    <col min="13063" max="13063" width="4" customWidth="1"/>
    <col min="13064" max="13064" width="5" customWidth="1"/>
    <col min="13065" max="13065" width="16" customWidth="1"/>
    <col min="13066" max="13066" width="13.33203125" customWidth="1"/>
    <col min="13067" max="13067" width="16.88671875" customWidth="1"/>
    <col min="13313" max="13313" width="5.33203125" customWidth="1"/>
    <col min="13314" max="13314" width="11.109375" customWidth="1"/>
    <col min="13315" max="13315" width="9" customWidth="1"/>
    <col min="13316" max="13316" width="13.6640625" customWidth="1"/>
    <col min="13317" max="13317" width="12.6640625" customWidth="1"/>
    <col min="13318" max="13318" width="7.6640625" customWidth="1"/>
    <col min="13319" max="13319" width="4" customWidth="1"/>
    <col min="13320" max="13320" width="5" customWidth="1"/>
    <col min="13321" max="13321" width="16" customWidth="1"/>
    <col min="13322" max="13322" width="13.33203125" customWidth="1"/>
    <col min="13323" max="13323" width="16.88671875" customWidth="1"/>
    <col min="13569" max="13569" width="5.33203125" customWidth="1"/>
    <col min="13570" max="13570" width="11.109375" customWidth="1"/>
    <col min="13571" max="13571" width="9" customWidth="1"/>
    <col min="13572" max="13572" width="13.6640625" customWidth="1"/>
    <col min="13573" max="13573" width="12.6640625" customWidth="1"/>
    <col min="13574" max="13574" width="7.6640625" customWidth="1"/>
    <col min="13575" max="13575" width="4" customWidth="1"/>
    <col min="13576" max="13576" width="5" customWidth="1"/>
    <col min="13577" max="13577" width="16" customWidth="1"/>
    <col min="13578" max="13578" width="13.33203125" customWidth="1"/>
    <col min="13579" max="13579" width="16.88671875" customWidth="1"/>
    <col min="13825" max="13825" width="5.33203125" customWidth="1"/>
    <col min="13826" max="13826" width="11.109375" customWidth="1"/>
    <col min="13827" max="13827" width="9" customWidth="1"/>
    <col min="13828" max="13828" width="13.6640625" customWidth="1"/>
    <col min="13829" max="13829" width="12.6640625" customWidth="1"/>
    <col min="13830" max="13830" width="7.6640625" customWidth="1"/>
    <col min="13831" max="13831" width="4" customWidth="1"/>
    <col min="13832" max="13832" width="5" customWidth="1"/>
    <col min="13833" max="13833" width="16" customWidth="1"/>
    <col min="13834" max="13834" width="13.33203125" customWidth="1"/>
    <col min="13835" max="13835" width="16.88671875" customWidth="1"/>
    <col min="14081" max="14081" width="5.33203125" customWidth="1"/>
    <col min="14082" max="14082" width="11.109375" customWidth="1"/>
    <col min="14083" max="14083" width="9" customWidth="1"/>
    <col min="14084" max="14084" width="13.6640625" customWidth="1"/>
    <col min="14085" max="14085" width="12.6640625" customWidth="1"/>
    <col min="14086" max="14086" width="7.6640625" customWidth="1"/>
    <col min="14087" max="14087" width="4" customWidth="1"/>
    <col min="14088" max="14088" width="5" customWidth="1"/>
    <col min="14089" max="14089" width="16" customWidth="1"/>
    <col min="14090" max="14090" width="13.33203125" customWidth="1"/>
    <col min="14091" max="14091" width="16.88671875" customWidth="1"/>
    <col min="14337" max="14337" width="5.33203125" customWidth="1"/>
    <col min="14338" max="14338" width="11.109375" customWidth="1"/>
    <col min="14339" max="14339" width="9" customWidth="1"/>
    <col min="14340" max="14340" width="13.6640625" customWidth="1"/>
    <col min="14341" max="14341" width="12.6640625" customWidth="1"/>
    <col min="14342" max="14342" width="7.6640625" customWidth="1"/>
    <col min="14343" max="14343" width="4" customWidth="1"/>
    <col min="14344" max="14344" width="5" customWidth="1"/>
    <col min="14345" max="14345" width="16" customWidth="1"/>
    <col min="14346" max="14346" width="13.33203125" customWidth="1"/>
    <col min="14347" max="14347" width="16.88671875" customWidth="1"/>
    <col min="14593" max="14593" width="5.33203125" customWidth="1"/>
    <col min="14594" max="14594" width="11.109375" customWidth="1"/>
    <col min="14595" max="14595" width="9" customWidth="1"/>
    <col min="14596" max="14596" width="13.6640625" customWidth="1"/>
    <col min="14597" max="14597" width="12.6640625" customWidth="1"/>
    <col min="14598" max="14598" width="7.6640625" customWidth="1"/>
    <col min="14599" max="14599" width="4" customWidth="1"/>
    <col min="14600" max="14600" width="5" customWidth="1"/>
    <col min="14601" max="14601" width="16" customWidth="1"/>
    <col min="14602" max="14602" width="13.33203125" customWidth="1"/>
    <col min="14603" max="14603" width="16.88671875" customWidth="1"/>
    <col min="14849" max="14849" width="5.33203125" customWidth="1"/>
    <col min="14850" max="14850" width="11.109375" customWidth="1"/>
    <col min="14851" max="14851" width="9" customWidth="1"/>
    <col min="14852" max="14852" width="13.6640625" customWidth="1"/>
    <col min="14853" max="14853" width="12.6640625" customWidth="1"/>
    <col min="14854" max="14854" width="7.6640625" customWidth="1"/>
    <col min="14855" max="14855" width="4" customWidth="1"/>
    <col min="14856" max="14856" width="5" customWidth="1"/>
    <col min="14857" max="14857" width="16" customWidth="1"/>
    <col min="14858" max="14858" width="13.33203125" customWidth="1"/>
    <col min="14859" max="14859" width="16.88671875" customWidth="1"/>
    <col min="15105" max="15105" width="5.33203125" customWidth="1"/>
    <col min="15106" max="15106" width="11.109375" customWidth="1"/>
    <col min="15107" max="15107" width="9" customWidth="1"/>
    <col min="15108" max="15108" width="13.6640625" customWidth="1"/>
    <col min="15109" max="15109" width="12.6640625" customWidth="1"/>
    <col min="15110" max="15110" width="7.6640625" customWidth="1"/>
    <col min="15111" max="15111" width="4" customWidth="1"/>
    <col min="15112" max="15112" width="5" customWidth="1"/>
    <col min="15113" max="15113" width="16" customWidth="1"/>
    <col min="15114" max="15114" width="13.33203125" customWidth="1"/>
    <col min="15115" max="15115" width="16.88671875" customWidth="1"/>
    <col min="15361" max="15361" width="5.33203125" customWidth="1"/>
    <col min="15362" max="15362" width="11.109375" customWidth="1"/>
    <col min="15363" max="15363" width="9" customWidth="1"/>
    <col min="15364" max="15364" width="13.6640625" customWidth="1"/>
    <col min="15365" max="15365" width="12.6640625" customWidth="1"/>
    <col min="15366" max="15366" width="7.6640625" customWidth="1"/>
    <col min="15367" max="15367" width="4" customWidth="1"/>
    <col min="15368" max="15368" width="5" customWidth="1"/>
    <col min="15369" max="15369" width="16" customWidth="1"/>
    <col min="15370" max="15370" width="13.33203125" customWidth="1"/>
    <col min="15371" max="15371" width="16.88671875" customWidth="1"/>
    <col min="15617" max="15617" width="5.33203125" customWidth="1"/>
    <col min="15618" max="15618" width="11.109375" customWidth="1"/>
    <col min="15619" max="15619" width="9" customWidth="1"/>
    <col min="15620" max="15620" width="13.6640625" customWidth="1"/>
    <col min="15621" max="15621" width="12.6640625" customWidth="1"/>
    <col min="15622" max="15622" width="7.6640625" customWidth="1"/>
    <col min="15623" max="15623" width="4" customWidth="1"/>
    <col min="15624" max="15624" width="5" customWidth="1"/>
    <col min="15625" max="15625" width="16" customWidth="1"/>
    <col min="15626" max="15626" width="13.33203125" customWidth="1"/>
    <col min="15627" max="15627" width="16.88671875" customWidth="1"/>
    <col min="15873" max="15873" width="5.33203125" customWidth="1"/>
    <col min="15874" max="15874" width="11.109375" customWidth="1"/>
    <col min="15875" max="15875" width="9" customWidth="1"/>
    <col min="15876" max="15876" width="13.6640625" customWidth="1"/>
    <col min="15877" max="15877" width="12.6640625" customWidth="1"/>
    <col min="15878" max="15878" width="7.6640625" customWidth="1"/>
    <col min="15879" max="15879" width="4" customWidth="1"/>
    <col min="15880" max="15880" width="5" customWidth="1"/>
    <col min="15881" max="15881" width="16" customWidth="1"/>
    <col min="15882" max="15882" width="13.33203125" customWidth="1"/>
    <col min="15883" max="15883" width="16.88671875" customWidth="1"/>
    <col min="16129" max="16129" width="5.33203125" customWidth="1"/>
    <col min="16130" max="16130" width="11.109375" customWidth="1"/>
    <col min="16131" max="16131" width="9" customWidth="1"/>
    <col min="16132" max="16132" width="13.6640625" customWidth="1"/>
    <col min="16133" max="16133" width="12.6640625" customWidth="1"/>
    <col min="16134" max="16134" width="7.6640625" customWidth="1"/>
    <col min="16135" max="16135" width="4" customWidth="1"/>
    <col min="16136" max="16136" width="5" customWidth="1"/>
    <col min="16137" max="16137" width="16" customWidth="1"/>
    <col min="16138" max="16138" width="13.33203125" customWidth="1"/>
    <col min="16139" max="16139" width="16.88671875" customWidth="1"/>
  </cols>
  <sheetData>
    <row r="1" spans="1:12" ht="103.8" customHeight="1">
      <c r="A1" s="166"/>
      <c r="B1" s="166"/>
      <c r="C1" s="166"/>
      <c r="D1" s="166"/>
      <c r="E1" s="166"/>
      <c r="F1" s="166"/>
      <c r="G1" s="166"/>
      <c r="H1" s="166"/>
      <c r="I1" s="166"/>
      <c r="J1" s="166"/>
    </row>
    <row r="2" spans="1:12" ht="14.2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2" t="s">
        <v>1</v>
      </c>
    </row>
    <row r="3" spans="1:12">
      <c r="A3" s="1" t="s">
        <v>2</v>
      </c>
      <c r="B3" s="1"/>
      <c r="C3" s="1"/>
      <c r="D3" s="1"/>
      <c r="E3" s="1"/>
      <c r="F3" s="1"/>
      <c r="G3" s="1"/>
      <c r="H3" s="1"/>
      <c r="I3" s="1"/>
      <c r="J3" s="3" t="s">
        <v>3</v>
      </c>
    </row>
    <row r="4" spans="1:12">
      <c r="B4" s="1"/>
      <c r="C4" s="1"/>
      <c r="D4" s="1"/>
      <c r="E4" s="1"/>
      <c r="F4" s="1"/>
      <c r="G4" s="1"/>
      <c r="H4" s="1"/>
      <c r="I4" s="4"/>
      <c r="J4" s="4"/>
    </row>
    <row r="5" spans="1:12" ht="20.25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6"/>
      <c r="L5" s="7"/>
    </row>
    <row r="6" spans="1:12" ht="15.6">
      <c r="A6" s="8"/>
      <c r="B6" s="9" t="s">
        <v>5</v>
      </c>
      <c r="C6" s="10" t="s">
        <v>6</v>
      </c>
      <c r="D6" s="11"/>
      <c r="E6" s="12"/>
      <c r="F6" s="13"/>
      <c r="G6" s="14" t="s">
        <v>7</v>
      </c>
      <c r="H6" s="15"/>
      <c r="I6" s="15"/>
      <c r="J6" s="16" t="s">
        <v>8</v>
      </c>
      <c r="K6" s="6"/>
    </row>
    <row r="7" spans="1:12">
      <c r="A7" s="17"/>
      <c r="B7" s="18" t="s">
        <v>9</v>
      </c>
      <c r="C7" s="19">
        <v>58000</v>
      </c>
      <c r="D7" s="20"/>
      <c r="E7" s="21"/>
      <c r="F7" s="22"/>
      <c r="G7" s="23" t="s">
        <v>10</v>
      </c>
      <c r="H7" s="24"/>
      <c r="I7" s="24"/>
      <c r="J7" s="25" t="s">
        <v>11</v>
      </c>
      <c r="K7" s="6"/>
    </row>
    <row r="8" spans="1:12">
      <c r="A8" s="26"/>
      <c r="B8" s="27" t="s">
        <v>12</v>
      </c>
      <c r="C8" s="28">
        <v>33736</v>
      </c>
      <c r="D8" s="29"/>
      <c r="E8" s="24"/>
      <c r="F8" s="30"/>
      <c r="G8" s="31" t="s">
        <v>13</v>
      </c>
      <c r="H8" s="32"/>
      <c r="I8" s="32"/>
      <c r="J8" s="33"/>
      <c r="K8" s="6"/>
    </row>
    <row r="9" spans="1:12" ht="15.6">
      <c r="A9" s="34"/>
      <c r="B9" s="27" t="s">
        <v>14</v>
      </c>
      <c r="C9" s="35">
        <v>199.94</v>
      </c>
      <c r="D9" s="36"/>
      <c r="E9" s="24"/>
      <c r="F9" s="30"/>
      <c r="G9" s="31" t="s">
        <v>15</v>
      </c>
      <c r="H9" s="32"/>
      <c r="I9" s="37"/>
      <c r="J9" s="22" t="s">
        <v>16</v>
      </c>
      <c r="K9" s="6"/>
    </row>
    <row r="10" spans="1:12">
      <c r="A10" s="38"/>
      <c r="B10" s="39" t="s">
        <v>17</v>
      </c>
      <c r="C10" s="35" t="s">
        <v>18</v>
      </c>
      <c r="D10" s="36"/>
      <c r="E10" s="24"/>
      <c r="F10" s="22"/>
      <c r="G10" s="40"/>
      <c r="H10" s="24"/>
      <c r="I10" s="41"/>
      <c r="J10" s="42"/>
      <c r="K10" s="6"/>
    </row>
    <row r="11" spans="1:12">
      <c r="A11" s="43"/>
      <c r="B11" s="44" t="s">
        <v>19</v>
      </c>
      <c r="C11" s="45">
        <v>33000</v>
      </c>
      <c r="D11" s="46" t="s">
        <v>20</v>
      </c>
      <c r="E11" s="46"/>
      <c r="F11" s="47"/>
      <c r="G11" s="48"/>
      <c r="H11" s="49"/>
      <c r="I11" s="49"/>
      <c r="J11" s="50"/>
      <c r="K11" s="51"/>
    </row>
    <row r="12" spans="1:12" ht="15.6">
      <c r="A12" s="52" t="s">
        <v>21</v>
      </c>
      <c r="B12" s="53"/>
      <c r="C12" s="53"/>
      <c r="D12" s="53"/>
      <c r="E12" s="54"/>
      <c r="F12" s="54"/>
      <c r="G12" s="54"/>
      <c r="H12" s="54"/>
      <c r="I12" s="54"/>
      <c r="J12" s="55"/>
      <c r="K12" s="51"/>
      <c r="L12" s="56"/>
    </row>
    <row r="13" spans="1:12">
      <c r="A13" s="57" t="s">
        <v>22</v>
      </c>
      <c r="B13" s="58" t="s">
        <v>23</v>
      </c>
      <c r="C13" s="59"/>
      <c r="D13" s="58" t="s">
        <v>24</v>
      </c>
      <c r="E13" s="60"/>
      <c r="F13" s="61"/>
      <c r="G13" s="62" t="s">
        <v>25</v>
      </c>
      <c r="H13" s="63"/>
      <c r="I13" s="64"/>
      <c r="J13" s="65" t="s">
        <v>26</v>
      </c>
      <c r="K13" s="6"/>
      <c r="L13" s="56"/>
    </row>
    <row r="14" spans="1:12">
      <c r="A14" s="66">
        <v>1</v>
      </c>
      <c r="B14" s="67" t="s">
        <v>27</v>
      </c>
      <c r="C14" s="68"/>
      <c r="D14" s="69" t="s">
        <v>28</v>
      </c>
      <c r="E14" s="69"/>
      <c r="F14" s="70"/>
      <c r="G14" s="69"/>
      <c r="H14" s="71"/>
      <c r="I14" s="71"/>
      <c r="J14" s="72">
        <f>0.034*C8*2</f>
        <v>2294.0480000000002</v>
      </c>
      <c r="K14" s="6"/>
      <c r="L14" s="56"/>
    </row>
    <row r="15" spans="1:12">
      <c r="A15" s="66">
        <f>A14+1</f>
        <v>2</v>
      </c>
      <c r="B15" s="73" t="s">
        <v>29</v>
      </c>
      <c r="C15" s="74"/>
      <c r="D15" s="75" t="s">
        <v>30</v>
      </c>
      <c r="E15" s="75"/>
      <c r="F15" s="76"/>
      <c r="G15" s="75"/>
      <c r="H15" s="77"/>
      <c r="I15" s="78"/>
      <c r="J15" s="79">
        <f>0.058*C8*2</f>
        <v>3913.3760000000002</v>
      </c>
      <c r="K15" s="6"/>
      <c r="L15" s="56"/>
    </row>
    <row r="16" spans="1:12">
      <c r="A16" s="66">
        <f>A15+1</f>
        <v>3</v>
      </c>
      <c r="B16" s="73" t="s">
        <v>31</v>
      </c>
      <c r="C16" s="74"/>
      <c r="D16" s="80" t="s">
        <v>32</v>
      </c>
      <c r="E16" s="4"/>
      <c r="F16" s="81"/>
      <c r="G16" s="82"/>
      <c r="H16" s="77"/>
      <c r="I16" s="77"/>
      <c r="J16" s="79">
        <f>C8*0.0034*2*5</f>
        <v>1147.0239999999999</v>
      </c>
      <c r="K16" s="6"/>
      <c r="L16" s="56"/>
    </row>
    <row r="17" spans="1:14">
      <c r="A17" s="66">
        <v>4</v>
      </c>
      <c r="B17" s="73" t="s">
        <v>33</v>
      </c>
      <c r="C17" s="74"/>
      <c r="D17" s="83" t="s">
        <v>34</v>
      </c>
      <c r="E17" s="84"/>
      <c r="F17" s="85"/>
      <c r="G17" s="82"/>
      <c r="H17" s="77"/>
      <c r="I17" s="77"/>
      <c r="J17" s="79">
        <f>4958*2</f>
        <v>9916</v>
      </c>
      <c r="K17" s="6"/>
      <c r="L17" s="56"/>
      <c r="M17" s="51"/>
      <c r="N17" s="51"/>
    </row>
    <row r="18" spans="1:14">
      <c r="A18" s="66">
        <v>5</v>
      </c>
      <c r="B18" s="86" t="s">
        <v>35</v>
      </c>
      <c r="C18" s="87"/>
      <c r="D18" s="4"/>
      <c r="E18" s="4"/>
      <c r="F18" s="88"/>
      <c r="G18" s="4"/>
      <c r="H18" s="77"/>
      <c r="I18" s="4"/>
      <c r="J18" s="89">
        <v>180</v>
      </c>
      <c r="K18" s="6"/>
      <c r="L18" s="56"/>
      <c r="M18" s="51"/>
      <c r="N18" s="51"/>
    </row>
    <row r="19" spans="1:14">
      <c r="A19" s="66">
        <v>6</v>
      </c>
      <c r="B19" s="90" t="s">
        <v>36</v>
      </c>
      <c r="C19" s="87"/>
      <c r="D19" s="74" t="s">
        <v>37</v>
      </c>
      <c r="E19" s="4"/>
      <c r="F19" s="91">
        <f>24*4</f>
        <v>96</v>
      </c>
      <c r="G19" s="92">
        <f>F19/24</f>
        <v>4</v>
      </c>
      <c r="H19" s="93"/>
      <c r="I19" s="94"/>
      <c r="J19" s="89">
        <f>0.0031*F19*C8</f>
        <v>10039.8336</v>
      </c>
      <c r="K19" s="6"/>
      <c r="L19" s="56"/>
      <c r="M19" s="51"/>
      <c r="N19" s="51"/>
    </row>
    <row r="20" spans="1:14">
      <c r="A20" s="66">
        <v>7</v>
      </c>
      <c r="B20" s="90" t="s">
        <v>38</v>
      </c>
      <c r="C20" s="87"/>
      <c r="D20" s="74" t="s">
        <v>39</v>
      </c>
      <c r="E20" s="4"/>
      <c r="F20" s="91">
        <v>24</v>
      </c>
      <c r="G20" s="95"/>
      <c r="H20" s="96"/>
      <c r="I20" s="96"/>
      <c r="J20" s="89">
        <f>0.0005*F20*C8</f>
        <v>404.83199999999999</v>
      </c>
      <c r="K20" s="6"/>
      <c r="L20" s="56"/>
      <c r="M20" s="51"/>
      <c r="N20" s="51"/>
    </row>
    <row r="21" spans="1:14">
      <c r="A21" s="66">
        <v>8</v>
      </c>
      <c r="B21" s="90" t="s">
        <v>40</v>
      </c>
      <c r="C21" s="87"/>
      <c r="D21" s="77" t="s">
        <v>41</v>
      </c>
      <c r="E21" s="4"/>
      <c r="F21" s="91"/>
      <c r="G21" s="95"/>
      <c r="H21" s="96"/>
      <c r="I21" s="96"/>
      <c r="J21" s="89">
        <v>220</v>
      </c>
      <c r="K21" s="6"/>
      <c r="L21" s="97"/>
      <c r="M21" s="51"/>
      <c r="N21" s="51"/>
    </row>
    <row r="22" spans="1:14">
      <c r="A22" s="66">
        <v>9</v>
      </c>
      <c r="B22" s="90" t="s">
        <v>42</v>
      </c>
      <c r="C22" s="87"/>
      <c r="D22" s="77" t="s">
        <v>43</v>
      </c>
      <c r="E22" s="4"/>
      <c r="F22" s="91"/>
      <c r="G22" s="95" t="s">
        <v>44</v>
      </c>
      <c r="H22" s="96"/>
      <c r="I22" s="96"/>
      <c r="J22" s="89" t="s">
        <v>45</v>
      </c>
      <c r="K22" s="6"/>
      <c r="L22" s="97"/>
      <c r="M22" s="51"/>
      <c r="N22" s="51"/>
    </row>
    <row r="23" spans="1:14">
      <c r="A23" s="66">
        <f>A22+1</f>
        <v>10</v>
      </c>
      <c r="B23" s="90" t="s">
        <v>46</v>
      </c>
      <c r="C23" s="87"/>
      <c r="D23" s="77"/>
      <c r="E23" s="4"/>
      <c r="F23" s="91"/>
      <c r="G23" s="95"/>
      <c r="H23" s="96"/>
      <c r="I23" s="96"/>
      <c r="J23" s="89">
        <v>200</v>
      </c>
      <c r="K23" s="6"/>
      <c r="L23" s="97"/>
      <c r="M23" s="51"/>
      <c r="N23" s="51"/>
    </row>
    <row r="24" spans="1:14">
      <c r="A24" s="66">
        <v>11</v>
      </c>
      <c r="B24" s="90" t="s">
        <v>47</v>
      </c>
      <c r="C24" s="87"/>
      <c r="D24" s="77"/>
      <c r="E24" s="4"/>
      <c r="F24" s="91"/>
      <c r="G24" s="95"/>
      <c r="H24" s="96"/>
      <c r="I24" s="96"/>
      <c r="J24" s="89">
        <v>3000</v>
      </c>
      <c r="K24" s="6"/>
      <c r="L24" s="97"/>
      <c r="M24" s="51"/>
      <c r="N24" s="51"/>
    </row>
    <row r="25" spans="1:14">
      <c r="A25" s="66">
        <v>12</v>
      </c>
      <c r="B25" s="73" t="s">
        <v>48</v>
      </c>
      <c r="C25" s="74"/>
      <c r="D25" s="77" t="s">
        <v>49</v>
      </c>
      <c r="E25" s="74"/>
      <c r="F25" s="76"/>
      <c r="G25" s="98"/>
      <c r="H25" s="77"/>
      <c r="I25" s="77"/>
      <c r="J25" s="99">
        <v>100</v>
      </c>
      <c r="K25" s="6"/>
      <c r="L25" s="97"/>
      <c r="M25" s="51"/>
      <c r="N25" s="51"/>
    </row>
    <row r="26" spans="1:14">
      <c r="A26" s="66">
        <v>13</v>
      </c>
      <c r="B26" s="73" t="s">
        <v>50</v>
      </c>
      <c r="C26" s="74"/>
      <c r="D26" s="100" t="s">
        <v>51</v>
      </c>
      <c r="E26" s="101"/>
      <c r="F26" s="76"/>
      <c r="G26" s="102"/>
      <c r="H26" s="77"/>
      <c r="I26" s="77"/>
      <c r="J26" s="99">
        <v>34</v>
      </c>
      <c r="K26" s="6"/>
    </row>
    <row r="27" spans="1:14">
      <c r="A27" s="103"/>
      <c r="B27" s="104"/>
      <c r="C27" s="105"/>
      <c r="D27" s="106"/>
      <c r="E27" s="107"/>
      <c r="F27" s="106"/>
      <c r="G27" s="108"/>
      <c r="H27" s="105"/>
      <c r="I27" s="109" t="s">
        <v>52</v>
      </c>
      <c r="J27" s="110">
        <f>SUM(J14:J26)</f>
        <v>31449.113600000001</v>
      </c>
      <c r="K27" s="6"/>
    </row>
    <row r="28" spans="1:14" ht="15.6">
      <c r="A28" s="52" t="s">
        <v>53</v>
      </c>
      <c r="B28" s="53"/>
      <c r="C28" s="53"/>
      <c r="D28" s="53"/>
      <c r="E28" s="54"/>
      <c r="F28" s="54"/>
      <c r="G28" s="54"/>
      <c r="H28" s="54"/>
      <c r="I28" s="54"/>
      <c r="J28" s="55"/>
    </row>
    <row r="29" spans="1:14">
      <c r="A29" s="111">
        <v>1</v>
      </c>
      <c r="B29" s="112" t="s">
        <v>54</v>
      </c>
      <c r="C29" s="113"/>
      <c r="D29" s="114"/>
      <c r="E29" s="115"/>
      <c r="F29" s="114"/>
      <c r="G29" s="116"/>
      <c r="H29" s="113"/>
      <c r="I29" s="117"/>
      <c r="J29" s="118">
        <f>1150</f>
        <v>1150</v>
      </c>
    </row>
    <row r="30" spans="1:14">
      <c r="A30" s="111">
        <v>2</v>
      </c>
      <c r="B30" s="119" t="s">
        <v>55</v>
      </c>
      <c r="C30" s="113"/>
      <c r="D30" s="114"/>
      <c r="E30" s="115"/>
      <c r="F30" s="114"/>
      <c r="G30" s="116"/>
      <c r="H30" s="113"/>
      <c r="I30" s="113"/>
      <c r="J30" s="120">
        <f>0.05*C11</f>
        <v>1650</v>
      </c>
      <c r="K30" s="51"/>
    </row>
    <row r="31" spans="1:14">
      <c r="A31" s="111">
        <v>3</v>
      </c>
      <c r="B31" s="121" t="s">
        <v>56</v>
      </c>
      <c r="C31" s="113"/>
      <c r="D31" s="114"/>
      <c r="E31" s="115"/>
      <c r="F31" s="114"/>
      <c r="G31" s="116"/>
      <c r="H31" s="113"/>
      <c r="I31" s="113"/>
      <c r="J31" s="122">
        <v>200</v>
      </c>
      <c r="K31" s="51"/>
    </row>
    <row r="32" spans="1:14">
      <c r="A32" s="123"/>
      <c r="B32" s="124"/>
      <c r="C32" s="124"/>
      <c r="D32" s="124"/>
      <c r="E32" s="124"/>
      <c r="F32" s="124"/>
      <c r="G32" s="124"/>
      <c r="H32" s="125"/>
      <c r="I32" s="126" t="s">
        <v>57</v>
      </c>
      <c r="J32" s="127">
        <f>SUM(J29:J31)</f>
        <v>3000</v>
      </c>
    </row>
    <row r="33" spans="1:10">
      <c r="A33" s="128"/>
      <c r="B33" s="124"/>
      <c r="C33" s="124"/>
      <c r="D33" s="124"/>
      <c r="E33" s="124"/>
      <c r="F33" s="124"/>
      <c r="G33" s="129"/>
      <c r="H33" s="130"/>
      <c r="I33" s="131" t="s">
        <v>58</v>
      </c>
      <c r="J33" s="132">
        <f>J27+J32</f>
        <v>34449.113599999997</v>
      </c>
    </row>
    <row r="34" spans="1:10">
      <c r="A34" s="133"/>
      <c r="B34" s="134" t="s">
        <v>59</v>
      </c>
      <c r="C34" s="4"/>
      <c r="D34" s="4"/>
      <c r="E34" s="4"/>
      <c r="F34" s="135"/>
      <c r="G34" s="129"/>
      <c r="H34" s="130"/>
      <c r="I34" s="130"/>
      <c r="J34" s="136"/>
    </row>
    <row r="35" spans="1:10">
      <c r="A35" s="137"/>
      <c r="B35" s="138"/>
      <c r="C35" s="139" t="s">
        <v>60</v>
      </c>
      <c r="D35" s="140"/>
      <c r="E35" s="140"/>
      <c r="F35" s="141"/>
      <c r="G35" s="142"/>
      <c r="H35" s="143"/>
      <c r="I35" s="143"/>
      <c r="J35" s="144"/>
    </row>
    <row r="36" spans="1:10" ht="6.75" customHeight="1">
      <c r="A36" s="145"/>
      <c r="B36" s="146"/>
      <c r="C36" s="147"/>
      <c r="D36" s="146"/>
      <c r="E36" s="148"/>
      <c r="F36" s="149"/>
      <c r="G36" s="148"/>
      <c r="H36" s="148"/>
      <c r="I36" s="77"/>
      <c r="J36" s="150"/>
    </row>
    <row r="37" spans="1:10">
      <c r="A37" s="151" t="s">
        <v>61</v>
      </c>
      <c r="B37" s="152" t="s">
        <v>62</v>
      </c>
      <c r="C37" s="146"/>
      <c r="D37" s="146"/>
      <c r="E37" s="148"/>
      <c r="F37" s="149"/>
      <c r="G37" s="148"/>
      <c r="H37" s="148"/>
      <c r="I37" s="77"/>
      <c r="J37" s="153"/>
    </row>
    <row r="38" spans="1:10" ht="2.25" customHeight="1">
      <c r="A38" s="145"/>
      <c r="C38" s="154"/>
      <c r="D38" s="154"/>
      <c r="E38" s="155"/>
      <c r="F38" s="155"/>
      <c r="G38" s="155"/>
      <c r="H38" s="155"/>
      <c r="I38" s="155"/>
      <c r="J38" s="153"/>
    </row>
    <row r="39" spans="1:10" ht="7.5" customHeight="1">
      <c r="A39" s="145"/>
      <c r="B39" s="156"/>
      <c r="C39" s="154"/>
      <c r="D39" s="154"/>
      <c r="E39" s="155"/>
      <c r="F39" s="155"/>
      <c r="G39" s="155"/>
      <c r="H39" s="155"/>
      <c r="I39" s="155"/>
      <c r="J39" s="153"/>
    </row>
    <row r="40" spans="1:10">
      <c r="A40" s="145"/>
      <c r="B40" s="156" t="s">
        <v>63</v>
      </c>
      <c r="C40" s="154"/>
      <c r="D40" s="154"/>
      <c r="E40" s="155"/>
      <c r="F40" s="155"/>
      <c r="G40" s="155"/>
      <c r="H40" s="155"/>
      <c r="I40" s="155"/>
      <c r="J40" s="153"/>
    </row>
    <row r="41" spans="1:10">
      <c r="A41" s="145"/>
      <c r="B41" s="156" t="s">
        <v>64</v>
      </c>
      <c r="C41" s="154"/>
      <c r="D41" s="154"/>
      <c r="E41" s="155"/>
      <c r="F41" s="155"/>
      <c r="G41" s="155"/>
      <c r="H41" s="155"/>
      <c r="I41" s="155"/>
      <c r="J41" s="153"/>
    </row>
    <row r="42" spans="1:10">
      <c r="A42" s="145"/>
      <c r="B42" s="156" t="s">
        <v>65</v>
      </c>
      <c r="C42" s="154"/>
      <c r="D42" s="154"/>
      <c r="E42" s="155"/>
      <c r="F42" s="155"/>
      <c r="G42" s="155"/>
      <c r="H42" s="155"/>
      <c r="I42" s="155"/>
      <c r="J42" s="153"/>
    </row>
    <row r="43" spans="1:10">
      <c r="A43" s="145"/>
      <c r="B43" s="156" t="s">
        <v>66</v>
      </c>
      <c r="C43" s="154"/>
      <c r="D43" s="154"/>
      <c r="E43" s="155"/>
      <c r="F43" s="155"/>
      <c r="G43" s="155"/>
      <c r="H43" s="155"/>
      <c r="I43" s="155"/>
      <c r="J43" s="153"/>
    </row>
    <row r="44" spans="1:10" ht="9.75" customHeight="1">
      <c r="A44" s="145"/>
      <c r="B44" s="157"/>
      <c r="C44" s="154"/>
      <c r="D44" s="154"/>
      <c r="E44" s="155"/>
      <c r="F44" s="155"/>
      <c r="G44" s="155"/>
      <c r="H44" s="155"/>
      <c r="I44" s="155"/>
      <c r="J44" s="153"/>
    </row>
    <row r="45" spans="1:10">
      <c r="A45" s="156" t="s">
        <v>67</v>
      </c>
      <c r="B45" s="158"/>
      <c r="C45" s="159"/>
      <c r="D45" s="77"/>
      <c r="E45" s="77"/>
      <c r="F45" s="77"/>
      <c r="G45" s="77"/>
      <c r="H45" s="160"/>
      <c r="I45" s="160"/>
      <c r="J45" s="161"/>
    </row>
    <row r="46" spans="1:10">
      <c r="A46" s="156" t="s">
        <v>68</v>
      </c>
      <c r="B46" s="162"/>
      <c r="C46" s="158"/>
      <c r="D46" s="77"/>
      <c r="E46" s="77"/>
      <c r="F46" s="77"/>
      <c r="G46" s="77"/>
      <c r="H46" s="160"/>
      <c r="I46" s="160"/>
      <c r="J46" s="161"/>
    </row>
    <row r="47" spans="1:10">
      <c r="A47" s="157" t="s">
        <v>69</v>
      </c>
      <c r="B47" s="158"/>
      <c r="C47" s="158"/>
      <c r="D47" s="77"/>
      <c r="E47" s="77"/>
      <c r="F47" s="77"/>
      <c r="G47" s="77"/>
      <c r="H47" s="77"/>
      <c r="I47" s="77"/>
      <c r="J47" s="153"/>
    </row>
    <row r="48" spans="1:10" ht="15.6">
      <c r="A48" s="163" t="s">
        <v>70</v>
      </c>
      <c r="B48" s="158"/>
      <c r="C48" s="146"/>
      <c r="D48" s="148"/>
      <c r="E48" s="148"/>
      <c r="F48" s="149"/>
      <c r="G48" s="148"/>
      <c r="H48" s="148"/>
      <c r="I48" s="77"/>
      <c r="J48" s="153"/>
    </row>
    <row r="49" spans="1:10">
      <c r="A49" s="156" t="s">
        <v>71</v>
      </c>
      <c r="B49" s="77"/>
      <c r="C49" s="77"/>
      <c r="D49" s="77"/>
      <c r="E49" s="77"/>
      <c r="F49" s="77"/>
      <c r="G49" s="77"/>
      <c r="H49" s="77"/>
      <c r="I49" s="77"/>
      <c r="J49" s="153"/>
    </row>
    <row r="50" spans="1:10">
      <c r="A50" s="156" t="s">
        <v>72</v>
      </c>
    </row>
    <row r="51" spans="1:10">
      <c r="A51" s="164" t="s">
        <v>73</v>
      </c>
    </row>
    <row r="52" spans="1:10">
      <c r="A52" s="164" t="s">
        <v>74</v>
      </c>
    </row>
    <row r="53" spans="1:10">
      <c r="A53" s="157" t="s">
        <v>69</v>
      </c>
    </row>
    <row r="54" spans="1:10" ht="15">
      <c r="A54" s="165"/>
    </row>
  </sheetData>
  <mergeCells count="4">
    <mergeCell ref="A5:J5"/>
    <mergeCell ref="G19:I19"/>
    <mergeCell ref="D26:E26"/>
    <mergeCell ref="A1:J1"/>
  </mergeCells>
  <hyperlinks>
    <hyperlink ref="A51" r:id="rId1" display="mailto:ship.agency@seatrans.com.vn" xr:uid="{C3C1900E-BB2F-44A8-A126-A64137BC19E8}"/>
    <hyperlink ref="A52" r:id="rId2" display="http://www.seatrans.com.vn/" xr:uid="{9E30BCE9-3D5D-4CA4-91D4-68B4F58A2659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HUYNH DUY TIEN</dc:creator>
  <cp:lastModifiedBy>DO HUYNH DUY TIEN</cp:lastModifiedBy>
  <dcterms:created xsi:type="dcterms:W3CDTF">2025-12-26T03:52:52Z</dcterms:created>
  <dcterms:modified xsi:type="dcterms:W3CDTF">2025-12-26T03:58:55Z</dcterms:modified>
</cp:coreProperties>
</file>